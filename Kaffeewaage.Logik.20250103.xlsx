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nh\Documents\PlatformIO\Projects\KaffeewaageESP_SingleDose\KaffeewaageLilygoT-DisplayS3_20240212\"/>
    </mc:Choice>
  </mc:AlternateContent>
  <xr:revisionPtr revIDLastSave="0" documentId="13_ncr:1_{F869C583-3C7E-436F-BAA2-BF645713E811}" xr6:coauthVersionLast="47" xr6:coauthVersionMax="47" xr10:uidLastSave="{00000000-0000-0000-0000-000000000000}"/>
  <bookViews>
    <workbookView xWindow="-108" yWindow="-108" windowWidth="23256" windowHeight="12456" activeTab="2" xr2:uid="{6093FCE1-E198-4E7B-9A9F-5F65F14DDFBD}"/>
  </bookViews>
  <sheets>
    <sheet name="Logik Automatikschalter" sheetId="1" r:id="rId1"/>
    <sheet name="Pins" sheetId="2" r:id="rId2"/>
    <sheet name="Menü" sheetId="3" r:id="rId3"/>
    <sheet name="Menü Verwandschaften" sheetId="5" r:id="rId4"/>
    <sheet name="Siebtraeger-Gewichte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1" i="5" l="1"/>
  <c r="G5" i="4"/>
  <c r="F5" i="4"/>
  <c r="C4" i="4"/>
  <c r="D4" i="4"/>
  <c r="C5" i="4"/>
  <c r="D5" i="4"/>
  <c r="D3" i="4"/>
  <c r="C3" i="4"/>
  <c r="E3" i="4"/>
  <c r="F3" i="4" s="1"/>
  <c r="E5" i="4"/>
  <c r="E4" i="4"/>
  <c r="G4" i="4" s="1"/>
  <c r="F4" i="4" l="1"/>
  <c r="G3" i="4"/>
</calcChain>
</file>

<file path=xl/sharedStrings.xml><?xml version="1.0" encoding="utf-8"?>
<sst xmlns="http://schemas.openxmlformats.org/spreadsheetml/2006/main" count="583" uniqueCount="315">
  <si>
    <t>Input</t>
  </si>
  <si>
    <t>Signal</t>
  </si>
  <si>
    <t>Aktion</t>
  </si>
  <si>
    <t>Kommentar</t>
  </si>
  <si>
    <t>ToDos</t>
  </si>
  <si>
    <t xml:space="preserve">      </t>
  </si>
  <si>
    <t>fell</t>
  </si>
  <si>
    <t>Tara-Block laufen lassen</t>
  </si>
  <si>
    <t>if ist &lt; soll</t>
  </si>
  <si>
    <t>Relais Mahlen an</t>
  </si>
  <si>
    <t>if ist &lt; soll und Relais Mahlen an</t>
  </si>
  <si>
    <t>Relais Mahlen aus</t>
  </si>
  <si>
    <t>if ist&gt;= soll</t>
  </si>
  <si>
    <t>Relais mahlen an, solange Grind gedrückt</t>
  </si>
  <si>
    <t>Rotary encoder</t>
  </si>
  <si>
    <t>turn left</t>
  </si>
  <si>
    <t>turn right</t>
  </si>
  <si>
    <t>switch</t>
  </si>
  <si>
    <t>eeprom.update(Sollwert)</t>
  </si>
  <si>
    <t>Waage aufwecken aus Sleep mode</t>
  </si>
  <si>
    <t>if Sleep Mode is on</t>
  </si>
  <si>
    <t>if Sleep mode is off</t>
  </si>
  <si>
    <t>eeprom.read Sollwert</t>
  </si>
  <si>
    <t>Tara-Block einfordern</t>
  </si>
  <si>
    <t>PIN</t>
  </si>
  <si>
    <t>Rotary Enc CLK</t>
  </si>
  <si>
    <t>Rotary Enc DT</t>
  </si>
  <si>
    <t>Rotary Enc SW</t>
  </si>
  <si>
    <t>switchTara</t>
  </si>
  <si>
    <t>switchGrind</t>
  </si>
  <si>
    <t>A4</t>
  </si>
  <si>
    <t>A5</t>
  </si>
  <si>
    <t>HX-711 DT</t>
  </si>
  <si>
    <t>HX-711 SCK</t>
  </si>
  <si>
    <t>Screen SDA</t>
  </si>
  <si>
    <t>Screen SCK</t>
  </si>
  <si>
    <t>switchAwake</t>
  </si>
  <si>
    <t>Interrupt</t>
  </si>
  <si>
    <t>Pro RastPunkt werden 2 Inkremente gezählt</t>
  </si>
  <si>
    <t>bounce?</t>
  </si>
  <si>
    <t>SDA</t>
  </si>
  <si>
    <t>SCL</t>
  </si>
  <si>
    <t>Nano</t>
  </si>
  <si>
    <t>Mega</t>
  </si>
  <si>
    <t>relaisOutGrind</t>
  </si>
  <si>
    <t>Sollwert = Sollwert + turnright incr/20</t>
  </si>
  <si>
    <t>Sollwert = Sollwert - turnleft incr/20</t>
  </si>
  <si>
    <t>bounce2</t>
  </si>
  <si>
    <t>nicht 20!</t>
  </si>
  <si>
    <t>nicht 21!</t>
  </si>
  <si>
    <t>Gibt es nicht</t>
  </si>
  <si>
    <t>Kalibrieren</t>
  </si>
  <si>
    <t>Soll</t>
  </si>
  <si>
    <t>Bodenlos</t>
  </si>
  <si>
    <t>1er-ST</t>
  </si>
  <si>
    <t>2er-ST</t>
  </si>
  <si>
    <t>1er-Trichter</t>
  </si>
  <si>
    <t>2er-Trichter</t>
  </si>
  <si>
    <t>ohne Trichter</t>
  </si>
  <si>
    <t>mit Trichter</t>
  </si>
  <si>
    <t>+ 3 g</t>
  </si>
  <si>
    <t>- 3 g</t>
  </si>
  <si>
    <t>Einstellungen</t>
  </si>
  <si>
    <t>-------------------</t>
  </si>
  <si>
    <t>Header</t>
  </si>
  <si>
    <t>Parent</t>
  </si>
  <si>
    <t>Child</t>
  </si>
  <si>
    <t>Siebtraegerauswahl</t>
  </si>
  <si>
    <t>Comment</t>
  </si>
  <si>
    <t>"Soll" sieht aus wie Root, aber das Sollgewicht ist invertiert</t>
  </si>
  <si>
    <t>Siebtraeger</t>
  </si>
  <si>
    <t>Trichter auflegen</t>
  </si>
  <si>
    <t>selectedST</t>
  </si>
  <si>
    <t>Bodenloser ST</t>
  </si>
  <si>
    <t>1er Siebtraeger</t>
  </si>
  <si>
    <t>2er Siebtraeger</t>
  </si>
  <si>
    <t>Custom ST</t>
  </si>
  <si>
    <t>Siebtraeger messen</t>
  </si>
  <si>
    <t>Bekanntes Gewicht aufl.</t>
  </si>
  <si>
    <t>pageID</t>
  </si>
  <si>
    <t>pageID=0</t>
  </si>
  <si>
    <t>pageID=1</t>
  </si>
  <si>
    <t>pageID=2</t>
  </si>
  <si>
    <t>pageID=3</t>
  </si>
  <si>
    <t>pageID=4</t>
  </si>
  <si>
    <t>pageID=5</t>
  </si>
  <si>
    <t>pageID=6</t>
  </si>
  <si>
    <t>pageID=7</t>
  </si>
  <si>
    <t>pageID=8</t>
  </si>
  <si>
    <t>pageID=9</t>
  </si>
  <si>
    <t>pageID=10</t>
  </si>
  <si>
    <t>pageID=11</t>
  </si>
  <si>
    <t>headerOfpageID[]</t>
  </si>
  <si>
    <t>pageID[]</t>
  </si>
  <si>
    <t>ParentChild-Tabelle</t>
  </si>
  <si>
    <t>Kalibrieren beenden</t>
  </si>
  <si>
    <t>Leer tarieren</t>
  </si>
  <si>
    <t>Siebträger auflegen</t>
  </si>
  <si>
    <t>Messen beenden</t>
  </si>
  <si>
    <t>Bodenloser Siebtr.</t>
  </si>
  <si>
    <t>float setWeight[selectedST]</t>
  </si>
  <si>
    <t>parentOfPage</t>
  </si>
  <si>
    <t>childrenOfPage</t>
  </si>
  <si>
    <t>const string headerOfPageID[]</t>
  </si>
  <si>
    <t>const string siebtraeger[selectedST]</t>
  </si>
  <si>
    <t>Root
pageID=0</t>
  </si>
  <si>
    <t>const byte footerOfPageID[]</t>
  </si>
  <si>
    <t>const byte childrenOfPageID[pageID,childrenOfPage]</t>
  </si>
  <si>
    <t>const byte parentOfPageID[pageID,parentOfPage]</t>
  </si>
  <si>
    <t>byte selectedST</t>
  </si>
  <si>
    <t>setWeightAsString[selectedST]</t>
  </si>
  <si>
    <t>Siebtraegerauswahl
pageID=2</t>
  </si>
  <si>
    <t>Einstellungen
pageID=1</t>
  </si>
  <si>
    <t>const byte menuItemToFunktionID[]</t>
  </si>
  <si>
    <t>doTara()</t>
  </si>
  <si>
    <t>selectedST=0</t>
  </si>
  <si>
    <t>selectedST=1</t>
  </si>
  <si>
    <t>selectedST=2</t>
  </si>
  <si>
    <t>selectedST=3</t>
  </si>
  <si>
    <t>setWeight einstellen</t>
  </si>
  <si>
    <t>doTara</t>
  </si>
  <si>
    <t>weight[selectedST]=actualWeight</t>
  </si>
  <si>
    <t>weightST_Trichter[selectedST]=actualWeight</t>
  </si>
  <si>
    <t>calibration.ino</t>
  </si>
  <si>
    <t>const string menuItemsOfPage[][]</t>
  </si>
  <si>
    <t>"Einstellungen"</t>
  </si>
  <si>
    <t>"Soll: "</t>
  </si>
  <si>
    <t>"Kalibrieren"</t>
  </si>
  <si>
    <t>""</t>
  </si>
  <si>
    <t>"Bodenloser ST"</t>
  </si>
  <si>
    <t>"Tarieren"</t>
  </si>
  <si>
    <t>const bool actualWeightdDisplayed[]</t>
  </si>
  <si>
    <t>const byte firstMenuItemOnPage[]</t>
  </si>
  <si>
    <t>const byte lastMenuItemOnPage[]</t>
  </si>
  <si>
    <t>const byte highlightedMenuItemWhenEnteringPage[]</t>
  </si>
  <si>
    <t>Kalibrieren
menuItemID=5</t>
  </si>
  <si>
    <t>Siebtraeger
menuItemID=1</t>
  </si>
  <si>
    <t>Soll
menuItemID=3</t>
  </si>
  <si>
    <t>Einstellungen
menuItemID=0</t>
  </si>
  <si>
    <t>const string clickMenuItemID[]</t>
  </si>
  <si>
    <t>const byte menuItemToPageID[]</t>
  </si>
  <si>
    <t>const byte nextPageFromPageMenuCombi[][]</t>
  </si>
  <si>
    <t>menuItemLine1</t>
  </si>
  <si>
    <t>menuItemLine0</t>
  </si>
  <si>
    <t>menuItemLine2</t>
  </si>
  <si>
    <t>menuItemLine3</t>
  </si>
  <si>
    <t>"OK"</t>
  </si>
  <si>
    <t>Kalibrieren 1/3</t>
  </si>
  <si>
    <t>Kalibrieren 2/3</t>
  </si>
  <si>
    <t>Kalibrieren 3/3</t>
  </si>
  <si>
    <t>esp32</t>
  </si>
  <si>
    <t>Rotary Encoder (esp32)</t>
  </si>
  <si>
    <t>GND</t>
  </si>
  <si>
    <t>VCC</t>
  </si>
  <si>
    <t>3,3 V</t>
  </si>
  <si>
    <t>TFT 128x160 SPI ST7735</t>
  </si>
  <si>
    <t>CS</t>
  </si>
  <si>
    <t>Chip Select</t>
  </si>
  <si>
    <t>SClock</t>
  </si>
  <si>
    <t>MOSI</t>
  </si>
  <si>
    <t>Register Select</t>
  </si>
  <si>
    <t>RESET</t>
  </si>
  <si>
    <t>Vcc</t>
  </si>
  <si>
    <t>+3.3 or Vin</t>
  </si>
  <si>
    <t>3V3 or EXT5V</t>
  </si>
  <si>
    <t>Bezeichnungsvarianten TFT</t>
  </si>
  <si>
    <t>TFT SCK</t>
  </si>
  <si>
    <t>TFT SDA</t>
  </si>
  <si>
    <t>TFT RES</t>
  </si>
  <si>
    <t>TFT RS</t>
  </si>
  <si>
    <t>TFT CS</t>
  </si>
  <si>
    <t>A0 (RS / DC)</t>
  </si>
  <si>
    <t>HX711</t>
  </si>
  <si>
    <t>rot</t>
  </si>
  <si>
    <t>schwarz</t>
  </si>
  <si>
    <t>weiß</t>
  </si>
  <si>
    <t>grün</t>
  </si>
  <si>
    <t>E+</t>
  </si>
  <si>
    <t>E-</t>
  </si>
  <si>
    <t>A-</t>
  </si>
  <si>
    <t>A+</t>
  </si>
  <si>
    <t>HX711(ESP32)</t>
  </si>
  <si>
    <t>pageID=12</t>
  </si>
  <si>
    <t>1:   Set   Menu up    Home</t>
  </si>
  <si>
    <t>Daten</t>
  </si>
  <si>
    <t>Reinigung Muehle</t>
  </si>
  <si>
    <t>Filterwechsel</t>
  </si>
  <si>
    <t>Reinigung Kaffeem.</t>
  </si>
  <si>
    <r>
      <t>Kalibrierung abgeschlossen --&gt; set
menuItemID=</t>
    </r>
    <r>
      <rPr>
        <sz val="11"/>
        <color rgb="FFFF0000"/>
        <rFont val="Calibri"/>
        <family val="2"/>
        <scheme val="minor"/>
      </rPr>
      <t>24</t>
    </r>
  </si>
  <si>
    <t>pageID=13</t>
  </si>
  <si>
    <t>pageID=14</t>
  </si>
  <si>
    <t>pageID=15</t>
  </si>
  <si>
    <t>pageID=16</t>
  </si>
  <si>
    <t>pageID=17</t>
  </si>
  <si>
    <t>Reset</t>
  </si>
  <si>
    <t>"Daten"</t>
  </si>
  <si>
    <t>"Reset"</t>
  </si>
  <si>
    <t>"Reinigung Muehle"</t>
  </si>
  <si>
    <t>"Reinigung Kaffeem."</t>
  </si>
  <si>
    <t>"Filterwechsel"</t>
  </si>
  <si>
    <t>Filterwechsel
pageID=19</t>
  </si>
  <si>
    <t>Mahlgewichte</t>
  </si>
  <si>
    <t>Shots</t>
  </si>
  <si>
    <t>IP-Adresse</t>
  </si>
  <si>
    <t>leer tara --&gt; set, Variable: Gefaess 2</t>
  </si>
  <si>
    <t>Siebtraeger auflegen --&gt; set, Variable: Gefaess 2</t>
  </si>
  <si>
    <t>Siebtraeger eingemessen, Variable: Gefaess 2</t>
  </si>
  <si>
    <t>leer tara --&gt; set, Variable: Gefaess 3</t>
  </si>
  <si>
    <t>Siebtraeger auflegen --&gt; set, Variable: Gefaess 3</t>
  </si>
  <si>
    <t>Siebtraeger eingemessen, Variable: Gefaess 3</t>
  </si>
  <si>
    <t>leer tara --&gt; set, Variable: Gefaess 4</t>
  </si>
  <si>
    <t>Siebtraeger eingemessen, Variable: Gefaess 4</t>
  </si>
  <si>
    <t>Siebtraeger auflegen --&gt; set, Variable: Gefaess 4</t>
  </si>
  <si>
    <r>
      <t>Autodetect
menuItemID=</t>
    </r>
    <r>
      <rPr>
        <sz val="11"/>
        <color rgb="FFFF0000"/>
        <rFont val="Calibri"/>
        <family val="2"/>
        <scheme val="minor"/>
      </rPr>
      <t>6</t>
    </r>
  </si>
  <si>
    <t>Gefaess 1
menuItemID=13</t>
  </si>
  <si>
    <t>Gefaess messen
menuItemID=4</t>
  </si>
  <si>
    <r>
      <t>Kalibrieren, Bekanntes Gewicht aufl.
pageID=</t>
    </r>
    <r>
      <rPr>
        <b/>
        <sz val="11"/>
        <color rgb="FFFF0000"/>
        <rFont val="Calibri"/>
        <family val="2"/>
        <scheme val="minor"/>
      </rPr>
      <t>10</t>
    </r>
  </si>
  <si>
    <t>Mahlgewichte
pageID=20</t>
  </si>
  <si>
    <t>Shots
pageID=21</t>
  </si>
  <si>
    <t>Stoppuhr
Nur Funktionsaufruf Tara
menuItemID=2</t>
  </si>
  <si>
    <t>Stoppuhr
PageID=3</t>
  </si>
  <si>
    <t>Sollgewicht
PageID=4</t>
  </si>
  <si>
    <t>Gefaess messen, Gefaess ausw.
pageID=5</t>
  </si>
  <si>
    <t>Kalibrieren, Tarieren
pageID=6</t>
  </si>
  <si>
    <t>Pflege/Daten
pageID=8</t>
  </si>
  <si>
    <t>Reinigung Mühle
pageID=11</t>
  </si>
  <si>
    <t>Reinigung Kaffeem.
pageID=12</t>
  </si>
  <si>
    <t>Filterwechsel
pageID=13</t>
  </si>
  <si>
    <t>Daten 
pageID=14</t>
  </si>
  <si>
    <r>
      <t>Kalibrieren, Kalibrierung abgeschl.
pageID=</t>
    </r>
    <r>
      <rPr>
        <b/>
        <sz val="11"/>
        <color rgb="FFFF0000"/>
        <rFont val="Calibri"/>
        <family val="2"/>
        <scheme val="minor"/>
      </rPr>
      <t>16</t>
    </r>
  </si>
  <si>
    <t>Reinigung Muehle
pageID=17</t>
  </si>
  <si>
    <t>Reinigung Kaffeem.
pageID=18</t>
  </si>
  <si>
    <t>Pflege/Daten
menuItemID=7</t>
  </si>
  <si>
    <t>Bodenloser Siebtr.
menuItemID=8</t>
  </si>
  <si>
    <t>1er Siebtraeger
menuItemID=9</t>
  </si>
  <si>
    <t>2er Siebtraeger
menuItemID=10</t>
  </si>
  <si>
    <r>
      <t>Custom Siebtr. Nur, wenn schon eingemessen
menuItemID=</t>
    </r>
    <r>
      <rPr>
        <sz val="11"/>
        <color rgb="FFFF0000"/>
        <rFont val="Calibri"/>
        <family val="2"/>
        <scheme val="minor"/>
      </rPr>
      <t>11</t>
    </r>
  </si>
  <si>
    <t>setWeight einstellen --&gt; set
menuItemID=12</t>
  </si>
  <si>
    <t>Gefaess 2
menuItemID=14</t>
  </si>
  <si>
    <t>Gefaess 3
menuItemID=15</t>
  </si>
  <si>
    <t>Gefaess 4
menuItemID=16</t>
  </si>
  <si>
    <t>leer tara --&gt; set
menuItemID=17</t>
  </si>
  <si>
    <r>
      <t>Auto
menuItemID=</t>
    </r>
    <r>
      <rPr>
        <sz val="11"/>
        <color rgb="FFFF0000"/>
        <rFont val="Calibri"/>
        <family val="2"/>
        <scheme val="minor"/>
      </rPr>
      <t>18</t>
    </r>
  </si>
  <si>
    <r>
      <t>Manuell
menuItemID=</t>
    </r>
    <r>
      <rPr>
        <sz val="11"/>
        <color rgb="FFFF0000"/>
        <rFont val="Calibri"/>
        <family val="2"/>
        <scheme val="minor"/>
      </rPr>
      <t>19</t>
    </r>
  </si>
  <si>
    <t>Reinigung Muehle
menuItemID=20</t>
  </si>
  <si>
    <t>Reinigung Kaffeemaschine 
menuItemID=21</t>
  </si>
  <si>
    <t>Filterwechsel
menuItemID=22</t>
  </si>
  <si>
    <t>Daten
menuItemID=23</t>
  </si>
  <si>
    <t>leer tara --&gt; set, Variable: Gefaess 1
menuItemID=24</t>
  </si>
  <si>
    <r>
      <t>bekanntes Gewicht aufl. --&gt; set
menuItemID=</t>
    </r>
    <r>
      <rPr>
        <sz val="11"/>
        <color rgb="FFFF0000"/>
        <rFont val="Calibri"/>
        <family val="2"/>
        <scheme val="minor"/>
      </rPr>
      <t>25</t>
    </r>
  </si>
  <si>
    <r>
      <t>Siebtraeger auflegen --&gt; set, Variable: Gefaess 1
menuItemID=</t>
    </r>
    <r>
      <rPr>
        <sz val="11"/>
        <color rgb="FFFF0000"/>
        <rFont val="Calibri"/>
        <family val="2"/>
        <scheme val="minor"/>
      </rPr>
      <t>26</t>
    </r>
  </si>
  <si>
    <r>
      <t>Siebtraeger eingemessen, Variable: Gefaess 1
menuItemID=</t>
    </r>
    <r>
      <rPr>
        <sz val="11"/>
        <color rgb="FFFF0000"/>
        <rFont val="Calibri"/>
        <family val="2"/>
        <scheme val="minor"/>
      </rPr>
      <t>28</t>
    </r>
  </si>
  <si>
    <t>Single-Dose-Waage</t>
  </si>
  <si>
    <t>Stoppuhr</t>
  </si>
  <si>
    <t>Soll einstellen</t>
  </si>
  <si>
    <t>Gefaess messen 1/4</t>
  </si>
  <si>
    <t>Gefaess messen 2/4</t>
  </si>
  <si>
    <t>Autodetect</t>
  </si>
  <si>
    <t>Pflege/Daten</t>
  </si>
  <si>
    <t>Kalibrieren, 2/3</t>
  </si>
  <si>
    <t>Reinigung Mühle</t>
  </si>
  <si>
    <t>Gefaess messen 3/4</t>
  </si>
  <si>
    <t>pageID=18</t>
  </si>
  <si>
    <t>pageID=19</t>
  </si>
  <si>
    <t>pageID=20</t>
  </si>
  <si>
    <t>pageID=21</t>
  </si>
  <si>
    <t>pageID=22</t>
  </si>
  <si>
    <t>Gefaess messen 4/4</t>
  </si>
  <si>
    <t>pageID=23</t>
  </si>
  <si>
    <t>Autodetect
pageID=7</t>
  </si>
  <si>
    <t>0:   Set   Tara             Grind</t>
  </si>
  <si>
    <t>2:   Start/Stop  Reset  Home</t>
  </si>
  <si>
    <t>"Gefaess messen"</t>
  </si>
  <si>
    <t>"Autodetect"</t>
  </si>
  <si>
    <t>"Pflege/Daten"</t>
  </si>
  <si>
    <t>"Gefaess 1"</t>
  </si>
  <si>
    <t>"Gefaess 3"</t>
  </si>
  <si>
    <t>"Gefaess 4"</t>
  </si>
  <si>
    <t>"Gefaess 2"</t>
  </si>
  <si>
    <t>"1er-Siebtraeger"</t>
  </si>
  <si>
    <t>"2er-Siebtraeger"</t>
  </si>
  <si>
    <t>"Custom-ST"</t>
  </si>
  <si>
    <t>"Stoppuhr"</t>
  </si>
  <si>
    <t>"An"</t>
  </si>
  <si>
    <t>"Aus"</t>
  </si>
  <si>
    <t>gefaess[selectedGefaess]</t>
  </si>
  <si>
    <t>"Reinigung in/seit"</t>
  </si>
  <si>
    <t>"Wechsel in/seit"</t>
  </si>
  <si>
    <t>"Mahlgewichte"</t>
  </si>
  <si>
    <t>"Shots"</t>
  </si>
  <si>
    <t>"IP-Adresse"</t>
  </si>
  <si>
    <t>"Gefaess aufl."</t>
  </si>
  <si>
    <t>"Gewicht aufl."</t>
  </si>
  <si>
    <t>"Gewicht xx g"</t>
  </si>
  <si>
    <t>"Muehle reset?"</t>
  </si>
  <si>
    <t>"Kaffeem. reset?"</t>
  </si>
  <si>
    <t>"Kalibrieren ok"</t>
  </si>
  <si>
    <t>"Filterwechsel reset?"</t>
  </si>
  <si>
    <t>"Gesamt"</t>
  </si>
  <si>
    <t>"Seit Reinigung"</t>
  </si>
  <si>
    <t>"Gefaess gemessen"</t>
  </si>
  <si>
    <r>
      <t>Gefaess messen, tara
PageID</t>
    </r>
    <r>
      <rPr>
        <b/>
        <sz val="11"/>
        <rFont val="Calibri"/>
        <family val="2"/>
        <scheme val="minor"/>
      </rPr>
      <t>=9</t>
    </r>
  </si>
  <si>
    <t>Gefaess messen, Gefaess auflegen
PageID=15</t>
  </si>
  <si>
    <t>Gefaess messen, Gefaess gemessen
pageID=23</t>
  </si>
  <si>
    <t>WLAN/Netzwerk</t>
  </si>
  <si>
    <t>WLAN/Netzwerk
pageID=22</t>
  </si>
  <si>
    <t>WLAN neu verbinden
pageID=24</t>
  </si>
  <si>
    <t xml:space="preserve">Mit WLAN Waagen-
Setup verbinden
IP: 192.168.4.1 
aufrufen
Warten…
Set Button ist hier ausgeblendet. Es wird automatisch bei Speichern über die WebUI auf die nächste Seite pageID26 gewechselt. pageID25 wird übersprungen. </t>
  </si>
  <si>
    <t>WLAN gespeichert
pageID=26</t>
  </si>
  <si>
    <t>Daten gespeichert
Neustart noetig
WebUI oder HMI
&gt; Neustart
Set ist wieder eingeblendet</t>
  </si>
  <si>
    <t>SSID:
FRITZ!Box ….
IP: ….
&gt;Setup starten</t>
  </si>
  <si>
    <t>Gesamt
Seit Reinigung
&gt;OK</t>
  </si>
  <si>
    <t>Filterwechsel Reset?
&gt;OK</t>
  </si>
  <si>
    <t>Kaffeem. Reset?
&gt;OK</t>
  </si>
  <si>
    <t>Muehle Reset?
&gt;OK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</si>
</sst>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0" fillId="0" borderId="0" xfId="0" quotePrefix="1"/>
    <xf numFmtId="0" fontId="0" fillId="0" borderId="0" xfId="0" applyAlignment="1">
      <alignment vertical="top" wrapText="1"/>
    </xf>
    <xf numFmtId="0" fontId="0" fillId="0" borderId="11" xfId="0" applyBorder="1" applyAlignment="1">
      <alignment vertical="top" wrapText="1"/>
    </xf>
    <xf numFmtId="0" fontId="0" fillId="0" borderId="11" xfId="0" quotePrefix="1" applyBorder="1" applyAlignment="1">
      <alignment vertical="top" wrapText="1"/>
    </xf>
    <xf numFmtId="0" fontId="0" fillId="0" borderId="12" xfId="0" applyBorder="1"/>
    <xf numFmtId="0" fontId="0" fillId="0" borderId="12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14" xfId="0" applyBorder="1"/>
    <xf numFmtId="0" fontId="0" fillId="0" borderId="1" xfId="0" applyBorder="1" applyAlignment="1">
      <alignment vertical="top" wrapText="1"/>
    </xf>
    <xf numFmtId="0" fontId="0" fillId="0" borderId="1" xfId="0" quotePrefix="1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0" fillId="0" borderId="18" xfId="0" applyBorder="1" applyAlignment="1">
      <alignment vertical="top" wrapText="1"/>
    </xf>
    <xf numFmtId="0" fontId="0" fillId="0" borderId="18" xfId="0" quotePrefix="1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0" xfId="0" applyAlignment="1">
      <alignment horizontal="left" vertical="top"/>
    </xf>
    <xf numFmtId="0" fontId="0" fillId="0" borderId="21" xfId="0" applyBorder="1" applyAlignment="1">
      <alignment vertical="top" wrapText="1"/>
    </xf>
    <xf numFmtId="0" fontId="0" fillId="2" borderId="10" xfId="0" applyFill="1" applyBorder="1" applyAlignment="1">
      <alignment vertical="top" wrapText="1"/>
    </xf>
    <xf numFmtId="0" fontId="0" fillId="2" borderId="10" xfId="0" quotePrefix="1" applyFill="1" applyBorder="1" applyAlignment="1">
      <alignment vertical="top" wrapText="1"/>
    </xf>
    <xf numFmtId="0" fontId="0" fillId="2" borderId="20" xfId="0" applyFill="1" applyBorder="1" applyAlignment="1">
      <alignment vertical="top" wrapText="1"/>
    </xf>
    <xf numFmtId="0" fontId="0" fillId="2" borderId="17" xfId="0" applyFill="1" applyBorder="1" applyAlignment="1">
      <alignment vertical="top" wrapText="1"/>
    </xf>
    <xf numFmtId="0" fontId="0" fillId="2" borderId="18" xfId="0" applyFill="1" applyBorder="1" applyAlignment="1">
      <alignment vertical="top" wrapText="1"/>
    </xf>
    <xf numFmtId="0" fontId="0" fillId="2" borderId="16" xfId="0" applyFill="1" applyBorder="1" applyAlignment="1">
      <alignment vertical="top" wrapText="1"/>
    </xf>
    <xf numFmtId="0" fontId="0" fillId="0" borderId="22" xfId="0" applyBorder="1" applyAlignment="1">
      <alignment vertical="top" wrapText="1"/>
    </xf>
    <xf numFmtId="0" fontId="0" fillId="0" borderId="23" xfId="0" applyBorder="1" applyAlignment="1">
      <alignment vertical="top" wrapText="1"/>
    </xf>
    <xf numFmtId="0" fontId="0" fillId="0" borderId="24" xfId="0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0" fillId="2" borderId="26" xfId="0" applyFill="1" applyBorder="1" applyAlignment="1">
      <alignment vertical="top" wrapText="1"/>
    </xf>
    <xf numFmtId="0" fontId="0" fillId="0" borderId="1" xfId="0" applyBorder="1"/>
    <xf numFmtId="0" fontId="2" fillId="0" borderId="1" xfId="0" applyFon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3" borderId="18" xfId="0" applyFill="1" applyBorder="1" applyAlignment="1">
      <alignment vertical="top" wrapText="1"/>
    </xf>
    <xf numFmtId="0" fontId="0" fillId="2" borderId="15" xfId="0" applyFill="1" applyBorder="1" applyAlignment="1">
      <alignment vertical="top" wrapText="1"/>
    </xf>
    <xf numFmtId="0" fontId="0" fillId="2" borderId="7" xfId="0" applyFill="1" applyBorder="1" applyAlignment="1">
      <alignment vertical="top" wrapText="1"/>
    </xf>
    <xf numFmtId="0" fontId="0" fillId="2" borderId="22" xfId="0" applyFill="1" applyBorder="1" applyAlignment="1">
      <alignment vertical="top" wrapText="1"/>
    </xf>
    <xf numFmtId="0" fontId="0" fillId="2" borderId="23" xfId="0" applyFill="1" applyBorder="1" applyAlignment="1">
      <alignment vertical="top" wrapText="1"/>
    </xf>
    <xf numFmtId="0" fontId="2" fillId="4" borderId="13" xfId="0" applyFont="1" applyFill="1" applyBorder="1" applyAlignment="1">
      <alignment vertical="top" wrapText="1"/>
    </xf>
    <xf numFmtId="0" fontId="2" fillId="4" borderId="8" xfId="0" applyFont="1" applyFill="1" applyBorder="1" applyAlignment="1">
      <alignment vertical="top" wrapText="1"/>
    </xf>
    <xf numFmtId="0" fontId="0" fillId="4" borderId="0" xfId="0" applyFill="1" applyAlignment="1">
      <alignment vertical="top" wrapText="1"/>
    </xf>
    <xf numFmtId="0" fontId="2" fillId="4" borderId="7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vertical="top" wrapText="1"/>
    </xf>
    <xf numFmtId="0" fontId="4" fillId="0" borderId="2" xfId="0" applyFont="1" applyBorder="1" applyAlignment="1">
      <alignment horizontal="left"/>
    </xf>
    <xf numFmtId="0" fontId="4" fillId="0" borderId="0" xfId="0" applyFont="1"/>
    <xf numFmtId="0" fontId="0" fillId="3" borderId="0" xfId="0" applyFill="1" applyAlignment="1">
      <alignment vertical="top" wrapText="1"/>
    </xf>
    <xf numFmtId="0" fontId="0" fillId="2" borderId="0" xfId="0" applyFill="1" applyAlignment="1">
      <alignment vertical="top" wrapText="1"/>
    </xf>
    <xf numFmtId="0" fontId="7" fillId="0" borderId="0" xfId="0" applyFont="1"/>
    <xf numFmtId="0" fontId="7" fillId="0" borderId="2" xfId="0" applyFont="1" applyBorder="1" applyAlignment="1">
      <alignment horizontal="left"/>
    </xf>
    <xf numFmtId="0" fontId="7" fillId="0" borderId="0" xfId="0" applyFont="1" applyAlignment="1">
      <alignment horizontal="left" vertical="top"/>
    </xf>
    <xf numFmtId="0" fontId="7" fillId="0" borderId="3" xfId="0" applyFont="1" applyBorder="1" applyAlignment="1">
      <alignment horizontal="left"/>
    </xf>
    <xf numFmtId="0" fontId="7" fillId="0" borderId="0" xfId="0" applyFont="1" applyAlignment="1">
      <alignment vertical="top" wrapText="1"/>
    </xf>
    <xf numFmtId="0" fontId="4" fillId="0" borderId="0" xfId="0" applyFon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302E5-4887-4FA2-A658-F4BA1920F1BA}">
  <dimension ref="B3:J25"/>
  <sheetViews>
    <sheetView workbookViewId="0">
      <selection activeCell="D18" sqref="D18"/>
    </sheetView>
  </sheetViews>
  <sheetFormatPr baseColWidth="10" defaultRowHeight="14.4" x14ac:dyDescent="0.3"/>
  <cols>
    <col min="2" max="2" width="14.88671875" bestFit="1" customWidth="1"/>
    <col min="4" max="4" width="26.77734375" bestFit="1" customWidth="1"/>
    <col min="5" max="5" width="24.109375" bestFit="1" customWidth="1"/>
    <col min="6" max="6" width="52.21875" bestFit="1" customWidth="1"/>
  </cols>
  <sheetData>
    <row r="3" spans="2:7" x14ac:dyDescent="0.3">
      <c r="B3" t="s">
        <v>0</v>
      </c>
      <c r="C3" t="s">
        <v>1</v>
      </c>
      <c r="D3" t="s">
        <v>2</v>
      </c>
      <c r="F3" t="s">
        <v>3</v>
      </c>
      <c r="G3" t="s">
        <v>4</v>
      </c>
    </row>
    <row r="4" spans="2:7" x14ac:dyDescent="0.3">
      <c r="B4" t="s">
        <v>28</v>
      </c>
      <c r="C4" t="s">
        <v>6</v>
      </c>
    </row>
    <row r="5" spans="2:7" x14ac:dyDescent="0.3">
      <c r="D5" t="s">
        <v>20</v>
      </c>
      <c r="E5" t="s">
        <v>19</v>
      </c>
    </row>
    <row r="6" spans="2:7" x14ac:dyDescent="0.3">
      <c r="E6" t="s">
        <v>22</v>
      </c>
    </row>
    <row r="7" spans="2:7" x14ac:dyDescent="0.3">
      <c r="E7" t="s">
        <v>23</v>
      </c>
    </row>
    <row r="8" spans="2:7" x14ac:dyDescent="0.3">
      <c r="D8" t="s">
        <v>21</v>
      </c>
      <c r="E8" t="s">
        <v>7</v>
      </c>
    </row>
    <row r="11" spans="2:7" x14ac:dyDescent="0.3">
      <c r="B11" t="s">
        <v>29</v>
      </c>
      <c r="C11" t="s">
        <v>6</v>
      </c>
    </row>
    <row r="12" spans="2:7" x14ac:dyDescent="0.3">
      <c r="D12" t="s">
        <v>8</v>
      </c>
      <c r="E12" t="s">
        <v>9</v>
      </c>
    </row>
    <row r="13" spans="2:7" x14ac:dyDescent="0.3">
      <c r="D13" t="s">
        <v>10</v>
      </c>
      <c r="E13" t="s">
        <v>11</v>
      </c>
    </row>
    <row r="15" spans="2:7" x14ac:dyDescent="0.3">
      <c r="D15" t="s">
        <v>12</v>
      </c>
      <c r="E15" t="s">
        <v>13</v>
      </c>
    </row>
    <row r="16" spans="2:7" x14ac:dyDescent="0.3">
      <c r="B16" t="s">
        <v>14</v>
      </c>
      <c r="C16" t="s">
        <v>15</v>
      </c>
    </row>
    <row r="17" spans="3:10" x14ac:dyDescent="0.3">
      <c r="D17" t="s">
        <v>46</v>
      </c>
      <c r="F17" t="s">
        <v>38</v>
      </c>
    </row>
    <row r="18" spans="3:10" x14ac:dyDescent="0.3">
      <c r="C18" t="s">
        <v>16</v>
      </c>
    </row>
    <row r="19" spans="3:10" x14ac:dyDescent="0.3">
      <c r="D19" t="s">
        <v>45</v>
      </c>
    </row>
    <row r="20" spans="3:10" x14ac:dyDescent="0.3">
      <c r="C20" t="s">
        <v>17</v>
      </c>
    </row>
    <row r="21" spans="3:10" x14ac:dyDescent="0.3">
      <c r="D21" t="s">
        <v>18</v>
      </c>
    </row>
    <row r="25" spans="3:10" x14ac:dyDescent="0.3">
      <c r="J25" t="s">
        <v>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221C6-7AAA-4D08-A195-CC3E4ECCD1C6}">
  <dimension ref="A2:G64"/>
  <sheetViews>
    <sheetView topLeftCell="A43" workbookViewId="0">
      <selection activeCell="F61" sqref="F61"/>
    </sheetView>
  </sheetViews>
  <sheetFormatPr baseColWidth="10" defaultRowHeight="14.4" x14ac:dyDescent="0.3"/>
  <cols>
    <col min="1" max="1" width="17.21875" customWidth="1"/>
    <col min="2" max="2" width="12.88671875" bestFit="1" customWidth="1"/>
  </cols>
  <sheetData>
    <row r="2" spans="1:3" x14ac:dyDescent="0.3">
      <c r="A2" t="s">
        <v>0</v>
      </c>
      <c r="B2" t="s">
        <v>24</v>
      </c>
    </row>
    <row r="4" spans="1:3" x14ac:dyDescent="0.3">
      <c r="A4" t="s">
        <v>42</v>
      </c>
    </row>
    <row r="5" spans="1:3" x14ac:dyDescent="0.3">
      <c r="A5" t="s">
        <v>36</v>
      </c>
      <c r="B5">
        <v>3</v>
      </c>
      <c r="C5" t="s">
        <v>37</v>
      </c>
    </row>
    <row r="6" spans="1:3" x14ac:dyDescent="0.3">
      <c r="A6" t="s">
        <v>27</v>
      </c>
      <c r="B6">
        <v>4</v>
      </c>
    </row>
    <row r="7" spans="1:3" x14ac:dyDescent="0.3">
      <c r="A7" t="s">
        <v>26</v>
      </c>
      <c r="B7">
        <v>5</v>
      </c>
    </row>
    <row r="8" spans="1:3" x14ac:dyDescent="0.3">
      <c r="A8" t="s">
        <v>25</v>
      </c>
      <c r="B8">
        <v>6</v>
      </c>
    </row>
    <row r="9" spans="1:3" x14ac:dyDescent="0.3">
      <c r="A9" t="s">
        <v>28</v>
      </c>
      <c r="B9">
        <v>7</v>
      </c>
      <c r="C9" t="s">
        <v>39</v>
      </c>
    </row>
    <row r="10" spans="1:3" x14ac:dyDescent="0.3">
      <c r="A10" t="s">
        <v>29</v>
      </c>
      <c r="B10">
        <v>8</v>
      </c>
      <c r="C10" t="s">
        <v>39</v>
      </c>
    </row>
    <row r="11" spans="1:3" x14ac:dyDescent="0.3">
      <c r="A11" t="s">
        <v>32</v>
      </c>
      <c r="B11">
        <v>9</v>
      </c>
    </row>
    <row r="12" spans="1:3" x14ac:dyDescent="0.3">
      <c r="A12" t="s">
        <v>33</v>
      </c>
      <c r="B12">
        <v>10</v>
      </c>
    </row>
    <row r="13" spans="1:3" x14ac:dyDescent="0.3">
      <c r="A13" t="s">
        <v>34</v>
      </c>
      <c r="B13" s="1" t="s">
        <v>30</v>
      </c>
      <c r="C13" t="s">
        <v>40</v>
      </c>
    </row>
    <row r="14" spans="1:3" x14ac:dyDescent="0.3">
      <c r="A14" t="s">
        <v>35</v>
      </c>
      <c r="B14" s="1" t="s">
        <v>31</v>
      </c>
      <c r="C14" t="s">
        <v>41</v>
      </c>
    </row>
    <row r="17" spans="1:6" x14ac:dyDescent="0.3">
      <c r="A17" t="s">
        <v>43</v>
      </c>
      <c r="F17" t="s">
        <v>155</v>
      </c>
    </row>
    <row r="18" spans="1:6" x14ac:dyDescent="0.3">
      <c r="A18" s="2" t="s">
        <v>36</v>
      </c>
      <c r="B18" s="2">
        <v>21</v>
      </c>
      <c r="C18" s="2" t="s">
        <v>37</v>
      </c>
      <c r="D18" t="s">
        <v>50</v>
      </c>
    </row>
    <row r="19" spans="1:6" x14ac:dyDescent="0.3">
      <c r="A19" t="s">
        <v>27</v>
      </c>
      <c r="B19">
        <v>18</v>
      </c>
      <c r="C19" t="s">
        <v>37</v>
      </c>
    </row>
    <row r="20" spans="1:6" x14ac:dyDescent="0.3">
      <c r="A20" t="s">
        <v>26</v>
      </c>
      <c r="B20">
        <v>3</v>
      </c>
      <c r="C20" t="s">
        <v>37</v>
      </c>
    </row>
    <row r="21" spans="1:6" x14ac:dyDescent="0.3">
      <c r="A21" t="s">
        <v>25</v>
      </c>
      <c r="B21">
        <v>2</v>
      </c>
      <c r="C21" t="s">
        <v>37</v>
      </c>
    </row>
    <row r="22" spans="1:6" x14ac:dyDescent="0.3">
      <c r="A22" t="s">
        <v>28</v>
      </c>
      <c r="B22">
        <v>19</v>
      </c>
      <c r="C22" t="s">
        <v>37</v>
      </c>
    </row>
    <row r="23" spans="1:6" x14ac:dyDescent="0.3">
      <c r="A23" t="s">
        <v>29</v>
      </c>
      <c r="B23">
        <v>13</v>
      </c>
      <c r="C23" t="s">
        <v>47</v>
      </c>
    </row>
    <row r="24" spans="1:6" x14ac:dyDescent="0.3">
      <c r="A24" t="s">
        <v>32</v>
      </c>
      <c r="B24">
        <v>9</v>
      </c>
    </row>
    <row r="25" spans="1:6" x14ac:dyDescent="0.3">
      <c r="A25" t="s">
        <v>33</v>
      </c>
      <c r="B25">
        <v>10</v>
      </c>
    </row>
    <row r="26" spans="1:6" x14ac:dyDescent="0.3">
      <c r="A26" t="s">
        <v>34</v>
      </c>
      <c r="B26" s="1" t="s">
        <v>40</v>
      </c>
      <c r="C26" t="s">
        <v>48</v>
      </c>
    </row>
    <row r="27" spans="1:6" x14ac:dyDescent="0.3">
      <c r="A27" t="s">
        <v>35</v>
      </c>
      <c r="B27" s="1" t="s">
        <v>41</v>
      </c>
      <c r="C27" t="s">
        <v>49</v>
      </c>
    </row>
    <row r="28" spans="1:6" x14ac:dyDescent="0.3">
      <c r="A28" t="s">
        <v>44</v>
      </c>
      <c r="B28">
        <v>4</v>
      </c>
    </row>
    <row r="31" spans="1:6" x14ac:dyDescent="0.3">
      <c r="A31" t="s">
        <v>150</v>
      </c>
      <c r="F31" t="s">
        <v>151</v>
      </c>
    </row>
    <row r="32" spans="1:6" x14ac:dyDescent="0.3">
      <c r="A32" s="2" t="s">
        <v>36</v>
      </c>
      <c r="B32" s="2">
        <v>21</v>
      </c>
      <c r="C32" s="2" t="s">
        <v>37</v>
      </c>
      <c r="D32" t="s">
        <v>50</v>
      </c>
    </row>
    <row r="33" spans="1:7" x14ac:dyDescent="0.3">
      <c r="A33" t="s">
        <v>27</v>
      </c>
      <c r="B33">
        <v>25</v>
      </c>
      <c r="C33" t="s">
        <v>37</v>
      </c>
      <c r="F33" t="s">
        <v>152</v>
      </c>
      <c r="G33" t="s">
        <v>152</v>
      </c>
    </row>
    <row r="34" spans="1:7" x14ac:dyDescent="0.3">
      <c r="A34" t="s">
        <v>26</v>
      </c>
      <c r="B34">
        <v>21</v>
      </c>
      <c r="C34" t="s">
        <v>37</v>
      </c>
      <c r="F34" t="s">
        <v>153</v>
      </c>
      <c r="G34" t="s">
        <v>154</v>
      </c>
    </row>
    <row r="35" spans="1:7" x14ac:dyDescent="0.3">
      <c r="A35" t="s">
        <v>25</v>
      </c>
      <c r="B35">
        <v>32</v>
      </c>
      <c r="C35" t="s">
        <v>37</v>
      </c>
    </row>
    <row r="36" spans="1:7" x14ac:dyDescent="0.3">
      <c r="A36" t="s">
        <v>28</v>
      </c>
      <c r="B36">
        <v>19</v>
      </c>
      <c r="C36" t="s">
        <v>37</v>
      </c>
    </row>
    <row r="37" spans="1:7" x14ac:dyDescent="0.3">
      <c r="A37" t="s">
        <v>29</v>
      </c>
      <c r="B37">
        <v>13</v>
      </c>
      <c r="C37" t="s">
        <v>37</v>
      </c>
    </row>
    <row r="38" spans="1:7" x14ac:dyDescent="0.3">
      <c r="A38" t="s">
        <v>32</v>
      </c>
      <c r="B38">
        <v>34</v>
      </c>
    </row>
    <row r="39" spans="1:7" x14ac:dyDescent="0.3">
      <c r="A39" t="s">
        <v>33</v>
      </c>
      <c r="B39">
        <v>35</v>
      </c>
    </row>
    <row r="40" spans="1:7" x14ac:dyDescent="0.3">
      <c r="A40" t="s">
        <v>166</v>
      </c>
      <c r="B40">
        <v>18</v>
      </c>
    </row>
    <row r="41" spans="1:7" x14ac:dyDescent="0.3">
      <c r="A41" t="s">
        <v>167</v>
      </c>
      <c r="B41">
        <v>23</v>
      </c>
    </row>
    <row r="42" spans="1:7" x14ac:dyDescent="0.3">
      <c r="A42" t="s">
        <v>168</v>
      </c>
      <c r="B42">
        <v>4</v>
      </c>
    </row>
    <row r="43" spans="1:7" x14ac:dyDescent="0.3">
      <c r="A43" t="s">
        <v>169</v>
      </c>
      <c r="B43">
        <v>2</v>
      </c>
    </row>
    <row r="44" spans="1:7" x14ac:dyDescent="0.3">
      <c r="A44" t="s">
        <v>170</v>
      </c>
      <c r="B44" s="1">
        <v>15</v>
      </c>
    </row>
    <row r="45" spans="1:7" x14ac:dyDescent="0.3">
      <c r="A45" t="s">
        <v>44</v>
      </c>
      <c r="B45">
        <v>33</v>
      </c>
    </row>
    <row r="50" spans="1:7" x14ac:dyDescent="0.3">
      <c r="A50" t="s">
        <v>165</v>
      </c>
    </row>
    <row r="51" spans="1:7" x14ac:dyDescent="0.3">
      <c r="A51" t="s">
        <v>156</v>
      </c>
      <c r="B51" t="s">
        <v>157</v>
      </c>
    </row>
    <row r="52" spans="1:7" x14ac:dyDescent="0.3">
      <c r="A52" t="s">
        <v>41</v>
      </c>
      <c r="B52" t="s">
        <v>158</v>
      </c>
    </row>
    <row r="53" spans="1:7" x14ac:dyDescent="0.3">
      <c r="A53" t="s">
        <v>40</v>
      </c>
      <c r="B53" t="s">
        <v>159</v>
      </c>
    </row>
    <row r="54" spans="1:7" x14ac:dyDescent="0.3">
      <c r="A54" t="s">
        <v>171</v>
      </c>
      <c r="B54" t="s">
        <v>160</v>
      </c>
    </row>
    <row r="55" spans="1:7" x14ac:dyDescent="0.3">
      <c r="A55" t="s">
        <v>161</v>
      </c>
    </row>
    <row r="56" spans="1:7" x14ac:dyDescent="0.3">
      <c r="A56" t="s">
        <v>162</v>
      </c>
      <c r="C56" t="s">
        <v>163</v>
      </c>
      <c r="D56" t="s">
        <v>164</v>
      </c>
    </row>
    <row r="57" spans="1:7" x14ac:dyDescent="0.3">
      <c r="A57" t="s">
        <v>152</v>
      </c>
      <c r="C57" t="s">
        <v>152</v>
      </c>
      <c r="D57" t="s">
        <v>152</v>
      </c>
    </row>
    <row r="60" spans="1:7" x14ac:dyDescent="0.3">
      <c r="A60" t="s">
        <v>172</v>
      </c>
      <c r="F60" t="s">
        <v>181</v>
      </c>
    </row>
    <row r="61" spans="1:7" x14ac:dyDescent="0.3">
      <c r="A61" t="s">
        <v>173</v>
      </c>
      <c r="B61" t="s">
        <v>177</v>
      </c>
    </row>
    <row r="62" spans="1:7" x14ac:dyDescent="0.3">
      <c r="A62" t="s">
        <v>174</v>
      </c>
      <c r="B62" t="s">
        <v>178</v>
      </c>
      <c r="F62" t="s">
        <v>152</v>
      </c>
      <c r="G62" t="s">
        <v>152</v>
      </c>
    </row>
    <row r="63" spans="1:7" x14ac:dyDescent="0.3">
      <c r="A63" t="s">
        <v>175</v>
      </c>
      <c r="B63" t="s">
        <v>179</v>
      </c>
      <c r="F63" t="s">
        <v>153</v>
      </c>
      <c r="G63" t="s">
        <v>154</v>
      </c>
    </row>
    <row r="64" spans="1:7" x14ac:dyDescent="0.3">
      <c r="A64" t="s">
        <v>176</v>
      </c>
      <c r="B64" t="s">
        <v>180</v>
      </c>
    </row>
  </sheetData>
  <pageMargins left="0.7" right="0.7" top="0.78740157499999996" bottom="0.78740157499999996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C470F-6C58-48CC-9954-EE9382CE54CA}">
  <dimension ref="A3:H36"/>
  <sheetViews>
    <sheetView tabSelected="1" topLeftCell="A21" zoomScale="85" zoomScaleNormal="85" workbookViewId="0">
      <selection activeCell="F28" sqref="F28"/>
    </sheetView>
  </sheetViews>
  <sheetFormatPr baseColWidth="10" defaultRowHeight="14.4" x14ac:dyDescent="0.3"/>
  <cols>
    <col min="1" max="1" width="31" customWidth="1"/>
    <col min="2" max="2" width="23.21875" customWidth="1"/>
    <col min="3" max="3" width="31.88671875" bestFit="1" customWidth="1"/>
    <col min="4" max="4" width="30.44140625" customWidth="1"/>
    <col min="5" max="5" width="31.88671875" bestFit="1" customWidth="1"/>
    <col min="6" max="6" width="29.21875" customWidth="1"/>
    <col min="7" max="7" width="31.5546875" customWidth="1"/>
    <col min="8" max="8" width="29.109375" customWidth="1"/>
  </cols>
  <sheetData>
    <row r="3" spans="1:7" x14ac:dyDescent="0.3">
      <c r="B3" t="s">
        <v>64</v>
      </c>
    </row>
    <row r="4" spans="1:7" ht="15" thickBot="1" x14ac:dyDescent="0.35">
      <c r="B4" s="3" t="s">
        <v>63</v>
      </c>
    </row>
    <row r="5" spans="1:7" ht="58.2" customHeight="1" x14ac:dyDescent="0.3">
      <c r="A5" s="49" t="s">
        <v>105</v>
      </c>
      <c r="B5" s="26" t="s">
        <v>138</v>
      </c>
      <c r="C5" s="47" t="s">
        <v>112</v>
      </c>
      <c r="D5" s="48" t="s">
        <v>222</v>
      </c>
      <c r="E5" s="48" t="s">
        <v>301</v>
      </c>
      <c r="F5" s="48" t="s">
        <v>302</v>
      </c>
      <c r="G5" s="48" t="s">
        <v>303</v>
      </c>
    </row>
    <row r="6" spans="1:7" ht="57.6" x14ac:dyDescent="0.3">
      <c r="B6" s="5"/>
      <c r="C6" s="28" t="s">
        <v>215</v>
      </c>
      <c r="D6" s="35" t="s">
        <v>214</v>
      </c>
      <c r="E6" s="45" t="s">
        <v>248</v>
      </c>
      <c r="F6" s="46" t="s">
        <v>250</v>
      </c>
      <c r="G6" s="31" t="s">
        <v>251</v>
      </c>
    </row>
    <row r="7" spans="1:7" ht="43.2" x14ac:dyDescent="0.3">
      <c r="B7" s="5"/>
      <c r="C7" s="10"/>
      <c r="D7" s="35" t="s">
        <v>238</v>
      </c>
      <c r="E7" s="32" t="s">
        <v>204</v>
      </c>
      <c r="F7" s="33" t="s">
        <v>205</v>
      </c>
      <c r="G7" s="13" t="s">
        <v>206</v>
      </c>
    </row>
    <row r="8" spans="1:7" ht="43.2" x14ac:dyDescent="0.3">
      <c r="B8" s="5"/>
      <c r="C8" s="10"/>
      <c r="D8" s="35" t="s">
        <v>239</v>
      </c>
      <c r="E8" s="32" t="s">
        <v>207</v>
      </c>
      <c r="F8" s="33" t="s">
        <v>208</v>
      </c>
      <c r="G8" s="13" t="s">
        <v>209</v>
      </c>
    </row>
    <row r="9" spans="1:7" ht="43.2" x14ac:dyDescent="0.3">
      <c r="B9" s="5"/>
      <c r="C9" s="10"/>
      <c r="D9" s="35" t="s">
        <v>240</v>
      </c>
      <c r="E9" s="32" t="s">
        <v>210</v>
      </c>
      <c r="F9" s="33" t="s">
        <v>212</v>
      </c>
      <c r="G9" s="13" t="s">
        <v>211</v>
      </c>
    </row>
    <row r="10" spans="1:7" ht="57.6" x14ac:dyDescent="0.3">
      <c r="B10" s="5"/>
      <c r="C10" s="10"/>
      <c r="D10" s="50" t="s">
        <v>223</v>
      </c>
      <c r="E10" s="50" t="s">
        <v>216</v>
      </c>
      <c r="F10" s="50" t="s">
        <v>229</v>
      </c>
      <c r="G10" s="25"/>
    </row>
    <row r="11" spans="1:7" ht="43.8" thickBot="1" x14ac:dyDescent="0.35">
      <c r="B11" s="8"/>
      <c r="C11" s="38" t="s">
        <v>135</v>
      </c>
      <c r="D11" s="44" t="s">
        <v>241</v>
      </c>
      <c r="E11" s="44" t="s">
        <v>249</v>
      </c>
      <c r="F11" s="30" t="s">
        <v>188</v>
      </c>
      <c r="G11" s="17"/>
    </row>
    <row r="12" spans="1:7" ht="43.2" x14ac:dyDescent="0.3">
      <c r="B12" s="36"/>
      <c r="C12" s="39"/>
      <c r="D12" s="51" t="s">
        <v>269</v>
      </c>
      <c r="E12" s="40"/>
      <c r="F12" s="37"/>
      <c r="G12" s="25"/>
    </row>
    <row r="13" spans="1:7" ht="43.2" x14ac:dyDescent="0.3">
      <c r="B13" s="36"/>
      <c r="C13" s="35" t="s">
        <v>213</v>
      </c>
      <c r="D13" s="35" t="s">
        <v>242</v>
      </c>
      <c r="E13" s="39"/>
      <c r="G13" s="34"/>
    </row>
    <row r="14" spans="1:7" ht="43.2" x14ac:dyDescent="0.3">
      <c r="B14" s="36"/>
      <c r="C14" s="41"/>
      <c r="D14" s="35" t="s">
        <v>243</v>
      </c>
      <c r="E14" s="39"/>
      <c r="G14" s="34"/>
    </row>
    <row r="15" spans="1:7" ht="43.2" x14ac:dyDescent="0.3">
      <c r="B15" s="36"/>
      <c r="C15" s="35" t="s">
        <v>232</v>
      </c>
      <c r="D15" s="51" t="s">
        <v>224</v>
      </c>
      <c r="E15" s="51" t="s">
        <v>225</v>
      </c>
      <c r="F15" s="51" t="s">
        <v>230</v>
      </c>
      <c r="G15" s="34"/>
    </row>
    <row r="16" spans="1:7" ht="43.2" x14ac:dyDescent="0.3">
      <c r="B16" s="36"/>
      <c r="C16" s="39"/>
      <c r="D16" s="35" t="s">
        <v>244</v>
      </c>
      <c r="E16" s="35" t="s">
        <v>194</v>
      </c>
      <c r="F16" s="35" t="s">
        <v>314</v>
      </c>
      <c r="G16" s="34"/>
    </row>
    <row r="17" spans="2:8" ht="43.2" x14ac:dyDescent="0.3">
      <c r="B17" s="36"/>
      <c r="C17" s="41"/>
      <c r="D17" s="39"/>
      <c r="E17" s="51" t="s">
        <v>226</v>
      </c>
      <c r="F17" s="51" t="s">
        <v>231</v>
      </c>
      <c r="G17" s="34"/>
    </row>
    <row r="18" spans="2:8" ht="43.2" x14ac:dyDescent="0.3">
      <c r="B18" s="36"/>
      <c r="C18" s="41"/>
      <c r="D18" s="35" t="s">
        <v>245</v>
      </c>
      <c r="E18" s="35" t="s">
        <v>194</v>
      </c>
      <c r="F18" s="35" t="s">
        <v>313</v>
      </c>
      <c r="G18" s="34"/>
    </row>
    <row r="19" spans="2:8" ht="43.2" x14ac:dyDescent="0.3">
      <c r="B19" s="36"/>
      <c r="C19" s="41"/>
      <c r="D19" s="39"/>
      <c r="E19" s="51" t="s">
        <v>227</v>
      </c>
      <c r="F19" s="51" t="s">
        <v>200</v>
      </c>
      <c r="G19" s="34"/>
    </row>
    <row r="20" spans="2:8" ht="43.2" x14ac:dyDescent="0.3">
      <c r="B20" s="36"/>
      <c r="C20" s="41"/>
      <c r="D20" s="35" t="s">
        <v>246</v>
      </c>
      <c r="E20" s="35" t="s">
        <v>194</v>
      </c>
      <c r="F20" s="35" t="s">
        <v>312</v>
      </c>
      <c r="G20" s="34"/>
    </row>
    <row r="21" spans="2:8" ht="43.2" x14ac:dyDescent="0.3">
      <c r="B21" s="36"/>
      <c r="C21" s="41"/>
      <c r="D21" s="39"/>
      <c r="E21" s="51" t="s">
        <v>228</v>
      </c>
      <c r="F21" s="51" t="s">
        <v>217</v>
      </c>
      <c r="G21" s="34"/>
    </row>
    <row r="22" spans="2:8" ht="43.8" thickBot="1" x14ac:dyDescent="0.35">
      <c r="B22" s="36"/>
      <c r="C22" s="42"/>
      <c r="D22" s="35" t="s">
        <v>247</v>
      </c>
      <c r="E22" s="35" t="s">
        <v>201</v>
      </c>
      <c r="F22" s="35" t="s">
        <v>311</v>
      </c>
      <c r="G22" s="34"/>
    </row>
    <row r="23" spans="2:8" ht="43.2" x14ac:dyDescent="0.3">
      <c r="B23" s="36"/>
      <c r="C23" s="56"/>
      <c r="D23" s="41"/>
      <c r="E23" s="41"/>
      <c r="F23" s="51" t="s">
        <v>218</v>
      </c>
      <c r="G23" s="34"/>
    </row>
    <row r="24" spans="2:8" ht="43.2" x14ac:dyDescent="0.3">
      <c r="B24" s="36"/>
      <c r="C24" s="56"/>
      <c r="D24" s="41"/>
      <c r="E24" s="35" t="s">
        <v>202</v>
      </c>
      <c r="F24" s="57" t="s">
        <v>311</v>
      </c>
      <c r="G24" s="34"/>
    </row>
    <row r="25" spans="2:8" ht="43.2" x14ac:dyDescent="0.3">
      <c r="B25" s="36"/>
      <c r="C25" s="56"/>
      <c r="D25" s="56"/>
      <c r="E25" s="41"/>
      <c r="F25" s="51" t="s">
        <v>305</v>
      </c>
      <c r="G25" s="51" t="s">
        <v>306</v>
      </c>
      <c r="H25" s="51" t="s">
        <v>308</v>
      </c>
    </row>
    <row r="26" spans="2:8" ht="144.6" thickBot="1" x14ac:dyDescent="0.35">
      <c r="B26" s="36"/>
      <c r="C26" s="56"/>
      <c r="D26" s="56"/>
      <c r="E26" s="35" t="s">
        <v>304</v>
      </c>
      <c r="F26" s="35" t="s">
        <v>310</v>
      </c>
      <c r="G26" s="35" t="s">
        <v>307</v>
      </c>
      <c r="H26" s="35" t="s">
        <v>309</v>
      </c>
    </row>
    <row r="27" spans="2:8" ht="43.2" x14ac:dyDescent="0.3">
      <c r="B27" s="27" t="s">
        <v>136</v>
      </c>
      <c r="C27" s="51" t="s">
        <v>111</v>
      </c>
      <c r="D27" s="4"/>
      <c r="E27" s="4"/>
      <c r="F27" s="9"/>
      <c r="G27" s="16"/>
    </row>
    <row r="28" spans="2:8" ht="43.2" x14ac:dyDescent="0.3">
      <c r="B28" s="6"/>
      <c r="C28" s="43" t="s">
        <v>233</v>
      </c>
      <c r="D28" s="12"/>
      <c r="E28" s="11"/>
      <c r="F28" s="11"/>
      <c r="G28" s="13"/>
    </row>
    <row r="29" spans="2:8" ht="43.2" x14ac:dyDescent="0.3">
      <c r="B29" s="6"/>
      <c r="C29" s="43" t="s">
        <v>234</v>
      </c>
      <c r="D29" s="12"/>
      <c r="E29" s="11"/>
      <c r="F29" s="11"/>
      <c r="G29" s="13"/>
    </row>
    <row r="30" spans="2:8" ht="43.2" x14ac:dyDescent="0.3">
      <c r="B30" s="6"/>
      <c r="C30" s="43" t="s">
        <v>235</v>
      </c>
      <c r="D30" s="12"/>
      <c r="E30" s="11"/>
      <c r="F30" s="11"/>
      <c r="G30" s="13"/>
    </row>
    <row r="31" spans="2:8" ht="58.2" thickBot="1" x14ac:dyDescent="0.35">
      <c r="B31" s="6"/>
      <c r="C31" s="29" t="s">
        <v>236</v>
      </c>
      <c r="D31" s="15"/>
      <c r="E31" s="14"/>
      <c r="F31" s="14"/>
      <c r="G31" s="17"/>
    </row>
    <row r="32" spans="2:8" ht="43.8" thickBot="1" x14ac:dyDescent="0.35">
      <c r="B32" s="27" t="s">
        <v>219</v>
      </c>
      <c r="C32" s="51" t="s">
        <v>220</v>
      </c>
      <c r="D32" s="9"/>
      <c r="E32" s="9"/>
      <c r="F32" s="9"/>
      <c r="G32" s="16"/>
    </row>
    <row r="33" spans="2:7" ht="43.2" x14ac:dyDescent="0.3">
      <c r="B33" s="26" t="s">
        <v>137</v>
      </c>
      <c r="C33" s="51" t="s">
        <v>221</v>
      </c>
      <c r="D33" s="9"/>
      <c r="E33" s="9"/>
      <c r="F33" s="9"/>
      <c r="G33" s="16"/>
    </row>
    <row r="34" spans="2:7" ht="43.8" thickBot="1" x14ac:dyDescent="0.35">
      <c r="B34" s="7"/>
      <c r="C34" s="29" t="s">
        <v>237</v>
      </c>
      <c r="D34" s="14"/>
      <c r="E34" s="14"/>
      <c r="F34" s="14"/>
      <c r="G34" s="17"/>
    </row>
    <row r="35" spans="2:7" x14ac:dyDescent="0.3">
      <c r="B35" s="4"/>
      <c r="C35" s="4"/>
      <c r="D35" s="4"/>
      <c r="E35" s="4"/>
      <c r="F35" s="4"/>
      <c r="G35" s="4"/>
    </row>
    <row r="36" spans="2:7" x14ac:dyDescent="0.3">
      <c r="B36" s="4"/>
      <c r="C36" s="4"/>
      <c r="D36" s="4"/>
      <c r="E36" s="4"/>
      <c r="F36" s="4"/>
      <c r="G36" s="4"/>
    </row>
  </sheetData>
  <phoneticPr fontId="3" type="noConversion"/>
  <pageMargins left="0.7" right="0.7" top="0.78740157499999996" bottom="0.78740157499999996" header="0.3" footer="0.3"/>
  <pageSetup paperSize="9" scale="48" orientation="landscape" horizontalDpi="360" verticalDpi="360" r:id="rId1"/>
  <rowBreaks count="1" manualBreakCount="1">
    <brk id="35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0E173-3C7B-4252-89FB-B2D6CCFB66AE}">
  <dimension ref="A1:J362"/>
  <sheetViews>
    <sheetView topLeftCell="A100" zoomScaleNormal="100" workbookViewId="0">
      <selection activeCell="C87" sqref="C87"/>
    </sheetView>
  </sheetViews>
  <sheetFormatPr baseColWidth="10" defaultRowHeight="14.4" x14ac:dyDescent="0.3"/>
  <cols>
    <col min="1" max="1" width="44.44140625" bestFit="1" customWidth="1"/>
    <col min="2" max="2" width="25.88671875" bestFit="1" customWidth="1"/>
    <col min="3" max="3" width="38" bestFit="1" customWidth="1"/>
    <col min="4" max="4" width="23.6640625" bestFit="1" customWidth="1"/>
    <col min="5" max="5" width="31.88671875" bestFit="1" customWidth="1"/>
    <col min="7" max="7" width="31.88671875" bestFit="1" customWidth="1"/>
  </cols>
  <sheetData>
    <row r="1" spans="1:8" x14ac:dyDescent="0.3">
      <c r="B1" s="4"/>
      <c r="C1" s="4"/>
      <c r="D1" s="4"/>
      <c r="E1" s="4"/>
      <c r="F1" s="4"/>
      <c r="G1" s="4"/>
      <c r="H1" s="4"/>
    </row>
    <row r="2" spans="1:8" x14ac:dyDescent="0.3">
      <c r="A2" t="s">
        <v>94</v>
      </c>
      <c r="B2" s="24"/>
      <c r="C2" s="24"/>
      <c r="E2" s="24"/>
    </row>
    <row r="3" spans="1:8" x14ac:dyDescent="0.3">
      <c r="B3" s="19"/>
      <c r="C3" s="20"/>
      <c r="D3" s="19" t="s">
        <v>65</v>
      </c>
      <c r="E3" s="20"/>
      <c r="F3" s="19" t="s">
        <v>66</v>
      </c>
      <c r="G3" s="20"/>
      <c r="H3" s="18" t="s">
        <v>68</v>
      </c>
    </row>
    <row r="4" spans="1:8" x14ac:dyDescent="0.3">
      <c r="B4" s="21" t="s">
        <v>79</v>
      </c>
      <c r="C4" s="22" t="s">
        <v>64</v>
      </c>
      <c r="D4" s="21" t="s">
        <v>79</v>
      </c>
      <c r="E4" s="22" t="s">
        <v>64</v>
      </c>
      <c r="F4" s="21" t="s">
        <v>79</v>
      </c>
      <c r="G4" s="22" t="s">
        <v>64</v>
      </c>
      <c r="H4" s="23"/>
    </row>
    <row r="5" spans="1:8" x14ac:dyDescent="0.3">
      <c r="B5" s="19" t="s">
        <v>80</v>
      </c>
      <c r="C5" s="20" t="s">
        <v>252</v>
      </c>
      <c r="D5" s="19" t="s">
        <v>80</v>
      </c>
      <c r="E5" s="20" t="s">
        <v>252</v>
      </c>
      <c r="F5" s="19" t="s">
        <v>81</v>
      </c>
      <c r="G5" s="20" t="s">
        <v>62</v>
      </c>
      <c r="H5" s="18"/>
    </row>
    <row r="6" spans="1:8" x14ac:dyDescent="0.3">
      <c r="B6" s="19"/>
      <c r="C6" s="20"/>
      <c r="D6" s="19"/>
      <c r="E6" s="20"/>
      <c r="F6" s="19" t="s">
        <v>82</v>
      </c>
      <c r="G6" s="20" t="s">
        <v>67</v>
      </c>
      <c r="H6" s="18"/>
    </row>
    <row r="7" spans="1:8" x14ac:dyDescent="0.3">
      <c r="B7" s="19"/>
      <c r="C7" s="20"/>
      <c r="D7" s="19"/>
      <c r="E7" s="20"/>
      <c r="F7" s="19" t="s">
        <v>83</v>
      </c>
      <c r="G7" s="20" t="s">
        <v>253</v>
      </c>
      <c r="H7" s="18"/>
    </row>
    <row r="8" spans="1:8" x14ac:dyDescent="0.3">
      <c r="B8" s="19"/>
      <c r="C8" s="20"/>
      <c r="D8" s="19"/>
      <c r="E8" s="20"/>
      <c r="F8" s="19" t="s">
        <v>84</v>
      </c>
      <c r="G8" s="20" t="s">
        <v>52</v>
      </c>
      <c r="H8" s="18" t="s">
        <v>69</v>
      </c>
    </row>
    <row r="9" spans="1:8" x14ac:dyDescent="0.3">
      <c r="B9" s="19" t="s">
        <v>81</v>
      </c>
      <c r="C9" s="20" t="s">
        <v>62</v>
      </c>
      <c r="D9" s="19" t="s">
        <v>80</v>
      </c>
      <c r="E9" s="20" t="s">
        <v>252</v>
      </c>
      <c r="F9" s="19" t="s">
        <v>85</v>
      </c>
      <c r="G9" s="20" t="s">
        <v>255</v>
      </c>
      <c r="H9" s="18"/>
    </row>
    <row r="10" spans="1:8" x14ac:dyDescent="0.3">
      <c r="B10" s="19"/>
      <c r="C10" s="20"/>
      <c r="D10" s="19"/>
      <c r="E10" s="20"/>
      <c r="F10" s="19" t="s">
        <v>86</v>
      </c>
      <c r="G10" s="20" t="s">
        <v>147</v>
      </c>
      <c r="H10" s="18"/>
    </row>
    <row r="11" spans="1:8" x14ac:dyDescent="0.3">
      <c r="B11" s="19"/>
      <c r="C11" s="20"/>
      <c r="D11" s="19"/>
      <c r="E11" s="20"/>
      <c r="F11" s="19" t="s">
        <v>87</v>
      </c>
      <c r="G11" s="20" t="s">
        <v>257</v>
      </c>
      <c r="H11" s="18"/>
    </row>
    <row r="12" spans="1:8" x14ac:dyDescent="0.3">
      <c r="B12" s="19"/>
      <c r="C12" s="20"/>
      <c r="D12" s="19"/>
      <c r="E12" s="20"/>
      <c r="F12" s="19" t="s">
        <v>88</v>
      </c>
      <c r="G12" s="20" t="s">
        <v>258</v>
      </c>
      <c r="H12" s="18"/>
    </row>
    <row r="13" spans="1:8" x14ac:dyDescent="0.3">
      <c r="B13" s="19" t="s">
        <v>82</v>
      </c>
      <c r="C13" s="20" t="s">
        <v>67</v>
      </c>
      <c r="D13" s="19" t="s">
        <v>80</v>
      </c>
      <c r="E13" s="20" t="s">
        <v>252</v>
      </c>
      <c r="F13" s="19" t="s">
        <v>80</v>
      </c>
      <c r="G13" s="20" t="s">
        <v>252</v>
      </c>
      <c r="H13" s="18"/>
    </row>
    <row r="14" spans="1:8" x14ac:dyDescent="0.3">
      <c r="B14" s="19" t="s">
        <v>83</v>
      </c>
      <c r="C14" s="20" t="s">
        <v>253</v>
      </c>
      <c r="D14" s="19" t="s">
        <v>80</v>
      </c>
      <c r="E14" s="20" t="s">
        <v>252</v>
      </c>
      <c r="F14" s="19" t="s">
        <v>80</v>
      </c>
      <c r="G14" s="20" t="s">
        <v>252</v>
      </c>
      <c r="H14" s="18"/>
    </row>
    <row r="15" spans="1:8" x14ac:dyDescent="0.3">
      <c r="B15" s="19" t="s">
        <v>84</v>
      </c>
      <c r="C15" s="20" t="s">
        <v>254</v>
      </c>
      <c r="D15" s="19" t="s">
        <v>80</v>
      </c>
      <c r="E15" s="20" t="s">
        <v>252</v>
      </c>
      <c r="F15" s="19" t="s">
        <v>80</v>
      </c>
      <c r="G15" s="20" t="s">
        <v>252</v>
      </c>
      <c r="H15" s="18"/>
    </row>
    <row r="16" spans="1:8" x14ac:dyDescent="0.3">
      <c r="B16" s="19" t="s">
        <v>85</v>
      </c>
      <c r="C16" s="20" t="s">
        <v>255</v>
      </c>
      <c r="D16" s="19" t="s">
        <v>81</v>
      </c>
      <c r="E16" s="20" t="s">
        <v>62</v>
      </c>
      <c r="F16" s="19" t="s">
        <v>89</v>
      </c>
      <c r="G16" s="20" t="s">
        <v>256</v>
      </c>
      <c r="H16" s="18"/>
    </row>
    <row r="17" spans="2:8" x14ac:dyDescent="0.3">
      <c r="B17" s="19" t="s">
        <v>86</v>
      </c>
      <c r="C17" s="20" t="s">
        <v>147</v>
      </c>
      <c r="D17" s="19" t="s">
        <v>81</v>
      </c>
      <c r="E17" s="20" t="s">
        <v>62</v>
      </c>
      <c r="F17" s="19" t="s">
        <v>90</v>
      </c>
      <c r="G17" s="20" t="s">
        <v>259</v>
      </c>
      <c r="H17" s="18"/>
    </row>
    <row r="18" spans="2:8" x14ac:dyDescent="0.3">
      <c r="B18" s="19" t="s">
        <v>87</v>
      </c>
      <c r="C18" s="20" t="s">
        <v>257</v>
      </c>
      <c r="D18" s="19" t="s">
        <v>81</v>
      </c>
      <c r="E18" s="20" t="s">
        <v>62</v>
      </c>
      <c r="F18" s="19" t="s">
        <v>80</v>
      </c>
      <c r="G18" s="20" t="s">
        <v>252</v>
      </c>
      <c r="H18" s="18"/>
    </row>
    <row r="19" spans="2:8" x14ac:dyDescent="0.3">
      <c r="B19" s="19" t="s">
        <v>88</v>
      </c>
      <c r="C19" s="20" t="s">
        <v>258</v>
      </c>
      <c r="D19" s="19" t="s">
        <v>81</v>
      </c>
      <c r="E19" s="20" t="s">
        <v>62</v>
      </c>
      <c r="F19" s="19" t="s">
        <v>91</v>
      </c>
      <c r="G19" s="20" t="s">
        <v>260</v>
      </c>
      <c r="H19" s="18"/>
    </row>
    <row r="20" spans="2:8" x14ac:dyDescent="0.3">
      <c r="B20" s="19"/>
      <c r="C20" s="20"/>
      <c r="D20" s="19"/>
      <c r="E20" s="20"/>
      <c r="F20" s="19" t="s">
        <v>182</v>
      </c>
      <c r="G20" s="20" t="s">
        <v>187</v>
      </c>
      <c r="H20" s="18"/>
    </row>
    <row r="21" spans="2:8" x14ac:dyDescent="0.3">
      <c r="B21" s="19"/>
      <c r="C21" s="20"/>
      <c r="D21" s="19"/>
      <c r="E21" s="20"/>
      <c r="F21" s="19" t="s">
        <v>189</v>
      </c>
      <c r="G21" s="20" t="s">
        <v>186</v>
      </c>
      <c r="H21" s="18"/>
    </row>
    <row r="22" spans="2:8" x14ac:dyDescent="0.3">
      <c r="B22" s="19"/>
      <c r="C22" s="20"/>
      <c r="D22" s="19"/>
      <c r="E22" s="20"/>
      <c r="F22" s="19" t="s">
        <v>190</v>
      </c>
      <c r="G22" s="20" t="s">
        <v>184</v>
      </c>
      <c r="H22" s="18"/>
    </row>
    <row r="23" spans="2:8" x14ac:dyDescent="0.3">
      <c r="B23" s="19" t="s">
        <v>89</v>
      </c>
      <c r="C23" s="20" t="s">
        <v>256</v>
      </c>
      <c r="D23" s="19" t="s">
        <v>85</v>
      </c>
      <c r="E23" s="20" t="s">
        <v>255</v>
      </c>
      <c r="F23" s="19" t="s">
        <v>191</v>
      </c>
      <c r="G23" s="20" t="s">
        <v>261</v>
      </c>
      <c r="H23" s="18"/>
    </row>
    <row r="24" spans="2:8" x14ac:dyDescent="0.3">
      <c r="B24" s="19" t="s">
        <v>90</v>
      </c>
      <c r="C24" s="20" t="s">
        <v>259</v>
      </c>
      <c r="D24" s="19" t="s">
        <v>86</v>
      </c>
      <c r="E24" s="20" t="s">
        <v>147</v>
      </c>
      <c r="F24" s="4" t="s">
        <v>192</v>
      </c>
      <c r="G24" s="4" t="s">
        <v>149</v>
      </c>
      <c r="H24" s="18"/>
    </row>
    <row r="25" spans="2:8" x14ac:dyDescent="0.3">
      <c r="B25" s="19" t="s">
        <v>91</v>
      </c>
      <c r="C25" s="20" t="s">
        <v>260</v>
      </c>
      <c r="D25" s="19" t="s">
        <v>88</v>
      </c>
      <c r="E25" s="20" t="s">
        <v>258</v>
      </c>
      <c r="F25" s="4" t="s">
        <v>193</v>
      </c>
      <c r="G25" s="4" t="s">
        <v>260</v>
      </c>
      <c r="H25" s="18"/>
    </row>
    <row r="26" spans="2:8" x14ac:dyDescent="0.3">
      <c r="B26" s="19" t="s">
        <v>182</v>
      </c>
      <c r="C26" s="20" t="s">
        <v>187</v>
      </c>
      <c r="D26" s="19" t="s">
        <v>88</v>
      </c>
      <c r="E26" s="20" t="s">
        <v>258</v>
      </c>
      <c r="F26" s="19" t="s">
        <v>262</v>
      </c>
      <c r="G26" s="4" t="s">
        <v>187</v>
      </c>
      <c r="H26" s="18"/>
    </row>
    <row r="27" spans="2:8" x14ac:dyDescent="0.3">
      <c r="B27" s="19" t="s">
        <v>189</v>
      </c>
      <c r="C27" s="20" t="s">
        <v>186</v>
      </c>
      <c r="D27" s="19" t="s">
        <v>88</v>
      </c>
      <c r="E27" s="20" t="s">
        <v>258</v>
      </c>
      <c r="F27" s="19" t="s">
        <v>263</v>
      </c>
      <c r="G27" s="4" t="s">
        <v>186</v>
      </c>
      <c r="H27" s="18"/>
    </row>
    <row r="28" spans="2:8" x14ac:dyDescent="0.3">
      <c r="B28" s="19" t="s">
        <v>190</v>
      </c>
      <c r="C28" s="20" t="s">
        <v>184</v>
      </c>
      <c r="D28" s="19" t="s">
        <v>88</v>
      </c>
      <c r="E28" s="20" t="s">
        <v>258</v>
      </c>
      <c r="F28" s="4" t="s">
        <v>264</v>
      </c>
      <c r="G28" s="4" t="s">
        <v>201</v>
      </c>
      <c r="H28" s="18"/>
    </row>
    <row r="29" spans="2:8" x14ac:dyDescent="0.3">
      <c r="B29" s="19"/>
      <c r="C29" s="20"/>
      <c r="D29" s="19"/>
      <c r="E29" s="20"/>
      <c r="F29" s="4" t="s">
        <v>265</v>
      </c>
      <c r="G29" s="4" t="s">
        <v>202</v>
      </c>
      <c r="H29" s="18"/>
    </row>
    <row r="30" spans="2:8" x14ac:dyDescent="0.3">
      <c r="B30" s="19"/>
      <c r="C30" s="20"/>
      <c r="D30" s="19"/>
      <c r="E30" s="20"/>
      <c r="F30" s="19" t="s">
        <v>266</v>
      </c>
      <c r="G30" s="4" t="s">
        <v>203</v>
      </c>
      <c r="H30" s="18"/>
    </row>
    <row r="31" spans="2:8" x14ac:dyDescent="0.3">
      <c r="B31" s="19" t="s">
        <v>191</v>
      </c>
      <c r="C31" s="20" t="s">
        <v>261</v>
      </c>
      <c r="D31" s="19" t="s">
        <v>89</v>
      </c>
      <c r="E31" s="20" t="s">
        <v>256</v>
      </c>
      <c r="F31" s="4" t="s">
        <v>268</v>
      </c>
      <c r="G31" s="4" t="s">
        <v>267</v>
      </c>
      <c r="H31" s="18"/>
    </row>
    <row r="32" spans="2:8" x14ac:dyDescent="0.3">
      <c r="B32" s="4" t="s">
        <v>192</v>
      </c>
      <c r="C32" s="4" t="s">
        <v>149</v>
      </c>
      <c r="D32" s="19" t="s">
        <v>90</v>
      </c>
      <c r="E32" s="20" t="s">
        <v>259</v>
      </c>
      <c r="F32" s="19" t="s">
        <v>80</v>
      </c>
      <c r="G32" s="20" t="s">
        <v>252</v>
      </c>
      <c r="H32" s="4"/>
    </row>
    <row r="33" spans="1:8" x14ac:dyDescent="0.3">
      <c r="B33" s="4" t="s">
        <v>193</v>
      </c>
      <c r="C33" s="4" t="s">
        <v>260</v>
      </c>
      <c r="D33" s="19" t="s">
        <v>91</v>
      </c>
      <c r="E33" s="20" t="s">
        <v>260</v>
      </c>
      <c r="F33" s="19" t="s">
        <v>80</v>
      </c>
      <c r="G33" s="20" t="s">
        <v>252</v>
      </c>
      <c r="H33" s="4"/>
    </row>
    <row r="34" spans="1:8" x14ac:dyDescent="0.3">
      <c r="B34" s="19" t="s">
        <v>262</v>
      </c>
      <c r="C34" s="4" t="s">
        <v>187</v>
      </c>
      <c r="D34" s="19" t="s">
        <v>182</v>
      </c>
      <c r="E34" s="20" t="s">
        <v>187</v>
      </c>
      <c r="F34" s="19" t="s">
        <v>80</v>
      </c>
      <c r="G34" s="20" t="s">
        <v>252</v>
      </c>
      <c r="H34" s="4"/>
    </row>
    <row r="35" spans="1:8" x14ac:dyDescent="0.3">
      <c r="B35" s="19" t="s">
        <v>263</v>
      </c>
      <c r="C35" s="4" t="s">
        <v>186</v>
      </c>
      <c r="D35" s="19" t="s">
        <v>189</v>
      </c>
      <c r="E35" s="20" t="s">
        <v>186</v>
      </c>
      <c r="F35" s="19" t="s">
        <v>80</v>
      </c>
      <c r="G35" s="20" t="s">
        <v>252</v>
      </c>
      <c r="H35" s="4"/>
    </row>
    <row r="36" spans="1:8" x14ac:dyDescent="0.3">
      <c r="B36" s="4" t="s">
        <v>264</v>
      </c>
      <c r="C36" s="4" t="s">
        <v>201</v>
      </c>
      <c r="D36" s="19" t="s">
        <v>190</v>
      </c>
      <c r="E36" s="20" t="s">
        <v>184</v>
      </c>
      <c r="F36" s="19" t="s">
        <v>80</v>
      </c>
      <c r="G36" s="20" t="s">
        <v>252</v>
      </c>
      <c r="H36" s="4"/>
    </row>
    <row r="37" spans="1:8" x14ac:dyDescent="0.3">
      <c r="B37" s="4" t="s">
        <v>265</v>
      </c>
      <c r="C37" s="4" t="s">
        <v>202</v>
      </c>
      <c r="D37" s="19" t="s">
        <v>190</v>
      </c>
      <c r="E37" s="20" t="s">
        <v>184</v>
      </c>
      <c r="F37" s="19" t="s">
        <v>80</v>
      </c>
      <c r="G37" s="20" t="s">
        <v>252</v>
      </c>
      <c r="H37" s="4"/>
    </row>
    <row r="38" spans="1:8" x14ac:dyDescent="0.3">
      <c r="B38" s="19" t="s">
        <v>266</v>
      </c>
      <c r="C38" s="4" t="s">
        <v>203</v>
      </c>
      <c r="D38" s="19" t="s">
        <v>190</v>
      </c>
      <c r="E38" s="20" t="s">
        <v>184</v>
      </c>
      <c r="F38" s="19" t="s">
        <v>80</v>
      </c>
      <c r="G38" s="20" t="s">
        <v>252</v>
      </c>
      <c r="H38" s="4"/>
    </row>
    <row r="39" spans="1:8" x14ac:dyDescent="0.3">
      <c r="B39" s="4" t="s">
        <v>268</v>
      </c>
      <c r="C39" s="4" t="s">
        <v>267</v>
      </c>
      <c r="D39" s="19" t="s">
        <v>191</v>
      </c>
      <c r="E39" s="20" t="s">
        <v>261</v>
      </c>
      <c r="F39" s="19" t="s">
        <v>80</v>
      </c>
      <c r="G39" s="20" t="s">
        <v>252</v>
      </c>
      <c r="H39" s="4"/>
    </row>
    <row r="40" spans="1:8" x14ac:dyDescent="0.3">
      <c r="B40" s="4"/>
      <c r="C40" s="4"/>
      <c r="D40" s="4"/>
      <c r="E40" s="4"/>
      <c r="F40" s="4"/>
      <c r="G40" s="4"/>
      <c r="H40" s="4"/>
    </row>
    <row r="41" spans="1:8" x14ac:dyDescent="0.3">
      <c r="A41" t="s">
        <v>109</v>
      </c>
      <c r="B41" s="4">
        <f>1</f>
        <v>1</v>
      </c>
      <c r="C41" s="4"/>
      <c r="D41" s="4"/>
      <c r="E41" s="4"/>
      <c r="F41" s="4"/>
      <c r="G41" s="4"/>
      <c r="H41" s="4"/>
    </row>
    <row r="42" spans="1:8" x14ac:dyDescent="0.3">
      <c r="B42" s="4"/>
      <c r="C42" s="4"/>
      <c r="D42" s="4"/>
      <c r="E42" s="4"/>
      <c r="F42" s="4"/>
      <c r="G42" s="4"/>
      <c r="H42" s="4"/>
    </row>
    <row r="43" spans="1:8" x14ac:dyDescent="0.3">
      <c r="A43" t="s">
        <v>104</v>
      </c>
      <c r="B43" s="4" t="s">
        <v>99</v>
      </c>
      <c r="C43" s="4"/>
      <c r="D43" s="4"/>
      <c r="E43" s="4"/>
      <c r="F43" s="4"/>
      <c r="G43" s="4"/>
      <c r="H43" s="4"/>
    </row>
    <row r="44" spans="1:8" x14ac:dyDescent="0.3">
      <c r="B44" s="4" t="s">
        <v>74</v>
      </c>
      <c r="C44" s="4"/>
      <c r="D44" s="4"/>
      <c r="E44" s="4"/>
      <c r="F44" s="4"/>
      <c r="G44" s="4"/>
      <c r="H44" s="4"/>
    </row>
    <row r="45" spans="1:8" x14ac:dyDescent="0.3">
      <c r="B45" s="4" t="s">
        <v>75</v>
      </c>
      <c r="C45" s="4"/>
      <c r="D45" s="4"/>
      <c r="E45" s="4"/>
      <c r="F45" s="4"/>
      <c r="G45" s="4"/>
      <c r="H45" s="4"/>
    </row>
    <row r="46" spans="1:8" x14ac:dyDescent="0.3">
      <c r="B46" s="4" t="s">
        <v>76</v>
      </c>
      <c r="C46" s="4"/>
      <c r="D46" s="4"/>
      <c r="E46" s="4"/>
      <c r="F46" s="4"/>
      <c r="G46" s="4"/>
      <c r="H46" s="4"/>
    </row>
    <row r="47" spans="1:8" x14ac:dyDescent="0.3">
      <c r="B47" s="4"/>
      <c r="C47" s="4"/>
      <c r="D47" s="4"/>
      <c r="E47" s="4"/>
      <c r="F47" s="4"/>
      <c r="G47" s="4"/>
      <c r="H47" s="4"/>
    </row>
    <row r="48" spans="1:8" x14ac:dyDescent="0.3">
      <c r="A48" t="s">
        <v>100</v>
      </c>
      <c r="B48" s="4"/>
      <c r="C48" s="4"/>
      <c r="D48" s="4"/>
      <c r="E48" s="4"/>
      <c r="F48" s="4"/>
      <c r="G48" s="4"/>
      <c r="H48" s="4"/>
    </row>
    <row r="49" spans="1:10" x14ac:dyDescent="0.3">
      <c r="C49" s="18"/>
      <c r="D49" s="18"/>
      <c r="E49" s="18"/>
      <c r="F49" s="18"/>
      <c r="G49" s="18"/>
      <c r="H49" s="18"/>
      <c r="I49" s="18"/>
      <c r="J49" s="18"/>
    </row>
    <row r="50" spans="1:10" x14ac:dyDescent="0.3">
      <c r="A50" t="s">
        <v>103</v>
      </c>
      <c r="B50" s="24" t="s">
        <v>92</v>
      </c>
      <c r="C50" t="s">
        <v>3</v>
      </c>
      <c r="G50" s="18"/>
      <c r="H50" s="18"/>
      <c r="I50" s="18"/>
      <c r="J50" s="18"/>
    </row>
    <row r="51" spans="1:10" x14ac:dyDescent="0.3">
      <c r="A51" s="24">
        <v>0</v>
      </c>
      <c r="B51" s="24" t="s">
        <v>252</v>
      </c>
      <c r="C51" s="24"/>
      <c r="G51" s="24"/>
      <c r="H51" s="18"/>
      <c r="I51" s="18"/>
      <c r="J51" s="18"/>
    </row>
    <row r="52" spans="1:10" x14ac:dyDescent="0.3">
      <c r="A52" s="24">
        <v>1</v>
      </c>
      <c r="B52" s="24" t="s">
        <v>62</v>
      </c>
      <c r="C52" s="24"/>
      <c r="G52" s="24"/>
    </row>
    <row r="53" spans="1:10" x14ac:dyDescent="0.3">
      <c r="A53" s="24">
        <v>2</v>
      </c>
      <c r="B53" s="24" t="s">
        <v>70</v>
      </c>
      <c r="C53" s="24"/>
      <c r="G53" s="24"/>
    </row>
    <row r="54" spans="1:10" x14ac:dyDescent="0.3">
      <c r="A54" s="24">
        <v>3</v>
      </c>
      <c r="B54" s="24" t="s">
        <v>253</v>
      </c>
      <c r="C54" s="24"/>
      <c r="G54" s="24"/>
    </row>
    <row r="55" spans="1:10" x14ac:dyDescent="0.3">
      <c r="A55" s="24">
        <v>4</v>
      </c>
      <c r="B55" s="24" t="s">
        <v>254</v>
      </c>
      <c r="C55" s="24"/>
      <c r="G55" s="24"/>
    </row>
    <row r="56" spans="1:10" x14ac:dyDescent="0.3">
      <c r="A56" s="24">
        <v>5</v>
      </c>
      <c r="B56" s="24" t="s">
        <v>255</v>
      </c>
      <c r="C56" s="24"/>
      <c r="G56" s="24"/>
    </row>
    <row r="57" spans="1:10" x14ac:dyDescent="0.3">
      <c r="A57" s="24">
        <v>6</v>
      </c>
      <c r="B57" s="24" t="s">
        <v>147</v>
      </c>
      <c r="C57" s="24"/>
      <c r="G57" s="24"/>
    </row>
    <row r="58" spans="1:10" x14ac:dyDescent="0.3">
      <c r="A58" s="24">
        <v>7</v>
      </c>
      <c r="B58" s="24" t="s">
        <v>257</v>
      </c>
      <c r="C58" s="24"/>
      <c r="G58" s="24"/>
    </row>
    <row r="59" spans="1:10" x14ac:dyDescent="0.3">
      <c r="A59" s="24">
        <v>8</v>
      </c>
      <c r="B59" s="24" t="s">
        <v>258</v>
      </c>
      <c r="C59" s="24"/>
      <c r="G59" s="24"/>
    </row>
    <row r="60" spans="1:10" x14ac:dyDescent="0.3">
      <c r="A60" s="24">
        <v>9</v>
      </c>
      <c r="B60" s="24" t="s">
        <v>256</v>
      </c>
      <c r="C60" s="24"/>
      <c r="G60" s="24"/>
    </row>
    <row r="61" spans="1:10" x14ac:dyDescent="0.3">
      <c r="A61" s="24">
        <v>10</v>
      </c>
      <c r="B61" s="24" t="s">
        <v>148</v>
      </c>
      <c r="C61" s="24"/>
      <c r="G61" s="24"/>
    </row>
    <row r="62" spans="1:10" x14ac:dyDescent="0.3">
      <c r="A62" s="24">
        <v>11</v>
      </c>
      <c r="B62" s="24" t="s">
        <v>185</v>
      </c>
      <c r="C62" s="24"/>
      <c r="G62" s="24"/>
    </row>
    <row r="63" spans="1:10" x14ac:dyDescent="0.3">
      <c r="A63" s="24">
        <v>12</v>
      </c>
      <c r="B63" s="24" t="s">
        <v>187</v>
      </c>
      <c r="C63" s="24"/>
      <c r="G63" s="24"/>
    </row>
    <row r="64" spans="1:10" x14ac:dyDescent="0.3">
      <c r="A64" s="24">
        <v>13</v>
      </c>
      <c r="B64" s="24" t="s">
        <v>186</v>
      </c>
      <c r="G64" s="24"/>
    </row>
    <row r="65" spans="1:7" x14ac:dyDescent="0.3">
      <c r="A65" s="24">
        <v>14</v>
      </c>
      <c r="B65" s="24" t="s">
        <v>184</v>
      </c>
      <c r="C65" s="24"/>
      <c r="G65" s="24"/>
    </row>
    <row r="66" spans="1:7" x14ac:dyDescent="0.3">
      <c r="A66" s="24">
        <v>15</v>
      </c>
      <c r="B66" s="24" t="s">
        <v>261</v>
      </c>
      <c r="C66" s="24"/>
      <c r="G66" s="24"/>
    </row>
    <row r="67" spans="1:7" x14ac:dyDescent="0.3">
      <c r="A67" s="24">
        <v>16</v>
      </c>
      <c r="B67" s="24" t="s">
        <v>149</v>
      </c>
      <c r="C67" s="24"/>
      <c r="G67" s="24"/>
    </row>
    <row r="68" spans="1:7" x14ac:dyDescent="0.3">
      <c r="A68" s="24">
        <v>17</v>
      </c>
      <c r="B68" s="24" t="s">
        <v>185</v>
      </c>
      <c r="C68" s="24"/>
      <c r="G68" s="24"/>
    </row>
    <row r="69" spans="1:7" x14ac:dyDescent="0.3">
      <c r="A69" s="24">
        <v>18</v>
      </c>
      <c r="B69" s="4" t="s">
        <v>187</v>
      </c>
      <c r="C69" s="24"/>
      <c r="G69" s="24"/>
    </row>
    <row r="70" spans="1:7" x14ac:dyDescent="0.3">
      <c r="A70" s="24">
        <v>19</v>
      </c>
      <c r="B70" s="4" t="s">
        <v>186</v>
      </c>
      <c r="C70" s="24"/>
      <c r="G70" s="24"/>
    </row>
    <row r="71" spans="1:7" x14ac:dyDescent="0.3">
      <c r="A71" s="24">
        <v>20</v>
      </c>
      <c r="B71" s="4" t="s">
        <v>201</v>
      </c>
      <c r="C71" s="24"/>
      <c r="G71" s="24"/>
    </row>
    <row r="72" spans="1:7" x14ac:dyDescent="0.3">
      <c r="A72" s="24">
        <v>21</v>
      </c>
      <c r="B72" s="4" t="s">
        <v>202</v>
      </c>
      <c r="C72" s="24"/>
      <c r="G72" s="24"/>
    </row>
    <row r="73" spans="1:7" x14ac:dyDescent="0.3">
      <c r="A73" s="24">
        <v>22</v>
      </c>
      <c r="B73" s="4" t="s">
        <v>203</v>
      </c>
      <c r="C73" s="24"/>
      <c r="G73" s="24"/>
    </row>
    <row r="74" spans="1:7" x14ac:dyDescent="0.3">
      <c r="A74" s="24">
        <v>23</v>
      </c>
      <c r="B74" s="4" t="s">
        <v>267</v>
      </c>
      <c r="C74" s="24"/>
      <c r="G74" s="24"/>
    </row>
    <row r="75" spans="1:7" x14ac:dyDescent="0.3">
      <c r="A75" s="24"/>
      <c r="B75" s="53"/>
      <c r="C75" s="24"/>
      <c r="G75" s="24"/>
    </row>
    <row r="76" spans="1:7" x14ac:dyDescent="0.3">
      <c r="A76" s="24"/>
      <c r="B76" s="53"/>
      <c r="C76" s="24"/>
      <c r="G76" s="24"/>
    </row>
    <row r="77" spans="1:7" x14ac:dyDescent="0.3">
      <c r="A77" s="24"/>
      <c r="B77" s="53"/>
      <c r="C77" s="24"/>
      <c r="G77" s="24"/>
    </row>
    <row r="78" spans="1:7" x14ac:dyDescent="0.3">
      <c r="A78" s="24"/>
      <c r="B78" s="24"/>
      <c r="G78" s="24"/>
    </row>
    <row r="79" spans="1:7" x14ac:dyDescent="0.3">
      <c r="A79" s="24"/>
      <c r="B79" s="24"/>
      <c r="G79" s="24"/>
    </row>
    <row r="80" spans="1:7" x14ac:dyDescent="0.3">
      <c r="A80" t="s">
        <v>124</v>
      </c>
      <c r="B80" s="24"/>
      <c r="G80" s="24"/>
    </row>
    <row r="81" spans="1:7" x14ac:dyDescent="0.3">
      <c r="A81" s="24">
        <v>0</v>
      </c>
      <c r="B81" s="24" t="s">
        <v>125</v>
      </c>
      <c r="C81" s="24" t="s">
        <v>72</v>
      </c>
      <c r="D81" t="s">
        <v>282</v>
      </c>
      <c r="E81" s="24" t="s">
        <v>126</v>
      </c>
      <c r="G81" s="24"/>
    </row>
    <row r="82" spans="1:7" x14ac:dyDescent="0.3">
      <c r="A82" s="24">
        <v>1</v>
      </c>
      <c r="B82" s="60" t="s">
        <v>272</v>
      </c>
      <c r="C82" s="60" t="s">
        <v>127</v>
      </c>
      <c r="D82" s="58" t="s">
        <v>273</v>
      </c>
      <c r="E82" s="60" t="s">
        <v>274</v>
      </c>
      <c r="G82" s="24"/>
    </row>
    <row r="83" spans="1:7" x14ac:dyDescent="0.3">
      <c r="A83" s="24">
        <v>2</v>
      </c>
      <c r="B83" s="58" t="s">
        <v>129</v>
      </c>
      <c r="C83" s="58" t="s">
        <v>279</v>
      </c>
      <c r="D83" s="58" t="s">
        <v>280</v>
      </c>
      <c r="E83" s="58" t="s">
        <v>281</v>
      </c>
      <c r="G83" s="24"/>
    </row>
    <row r="84" spans="1:7" x14ac:dyDescent="0.3">
      <c r="A84" s="24">
        <v>3</v>
      </c>
      <c r="B84" s="60" t="s">
        <v>128</v>
      </c>
      <c r="C84" s="60" t="s">
        <v>128</v>
      </c>
      <c r="D84" s="58" t="s">
        <v>128</v>
      </c>
      <c r="E84" s="60" t="s">
        <v>128</v>
      </c>
      <c r="G84" s="24"/>
    </row>
    <row r="85" spans="1:7" x14ac:dyDescent="0.3">
      <c r="A85" s="24">
        <v>4</v>
      </c>
      <c r="B85" s="60" t="s">
        <v>125</v>
      </c>
      <c r="C85" s="60" t="s">
        <v>72</v>
      </c>
      <c r="D85" s="58" t="s">
        <v>253</v>
      </c>
      <c r="E85" s="60" t="s">
        <v>126</v>
      </c>
      <c r="G85" s="24"/>
    </row>
    <row r="86" spans="1:7" x14ac:dyDescent="0.3">
      <c r="A86" s="24">
        <v>5</v>
      </c>
      <c r="B86" s="60" t="s">
        <v>275</v>
      </c>
      <c r="C86" s="60" t="s">
        <v>278</v>
      </c>
      <c r="D86" s="58" t="s">
        <v>276</v>
      </c>
      <c r="E86" s="60" t="s">
        <v>277</v>
      </c>
      <c r="G86" s="24"/>
    </row>
    <row r="87" spans="1:7" x14ac:dyDescent="0.3">
      <c r="A87" s="24">
        <v>6</v>
      </c>
      <c r="B87" s="60" t="s">
        <v>130</v>
      </c>
      <c r="C87" s="60" t="s">
        <v>128</v>
      </c>
      <c r="D87" s="60" t="s">
        <v>128</v>
      </c>
      <c r="E87" s="58" t="s">
        <v>128</v>
      </c>
      <c r="G87" s="24"/>
    </row>
    <row r="88" spans="1:7" x14ac:dyDescent="0.3">
      <c r="A88" s="24">
        <v>7</v>
      </c>
      <c r="B88" s="60" t="s">
        <v>283</v>
      </c>
      <c r="C88" s="60" t="s">
        <v>284</v>
      </c>
      <c r="D88" s="60" t="s">
        <v>128</v>
      </c>
      <c r="E88" s="58" t="s">
        <v>128</v>
      </c>
      <c r="G88" s="24"/>
    </row>
    <row r="89" spans="1:7" x14ac:dyDescent="0.3">
      <c r="A89" s="24">
        <v>8</v>
      </c>
      <c r="B89" s="61" t="s">
        <v>197</v>
      </c>
      <c r="C89" s="60" t="s">
        <v>198</v>
      </c>
      <c r="D89" s="60" t="s">
        <v>199</v>
      </c>
      <c r="E89" s="58" t="s">
        <v>195</v>
      </c>
      <c r="G89" s="24"/>
    </row>
    <row r="90" spans="1:7" x14ac:dyDescent="0.3">
      <c r="A90" s="24">
        <v>9</v>
      </c>
      <c r="B90" s="60" t="s">
        <v>285</v>
      </c>
      <c r="C90" s="60" t="s">
        <v>130</v>
      </c>
      <c r="D90" s="60" t="s">
        <v>128</v>
      </c>
      <c r="E90" s="58" t="s">
        <v>128</v>
      </c>
      <c r="G90" s="24"/>
    </row>
    <row r="91" spans="1:7" x14ac:dyDescent="0.3">
      <c r="A91" s="24">
        <v>10</v>
      </c>
      <c r="B91" s="60" t="s">
        <v>292</v>
      </c>
      <c r="C91" s="60" t="s">
        <v>293</v>
      </c>
      <c r="D91" s="60" t="s">
        <v>128</v>
      </c>
      <c r="E91" s="58" t="s">
        <v>128</v>
      </c>
      <c r="G91" s="24"/>
    </row>
    <row r="92" spans="1:7" x14ac:dyDescent="0.3">
      <c r="A92" s="24">
        <v>11</v>
      </c>
      <c r="B92" s="60" t="s">
        <v>286</v>
      </c>
      <c r="C92" s="60" t="s">
        <v>196</v>
      </c>
      <c r="D92" s="60" t="s">
        <v>128</v>
      </c>
      <c r="E92" s="60" t="s">
        <v>128</v>
      </c>
      <c r="G92" s="24"/>
    </row>
    <row r="93" spans="1:7" x14ac:dyDescent="0.3">
      <c r="A93" s="24">
        <v>12</v>
      </c>
      <c r="B93" s="60" t="s">
        <v>286</v>
      </c>
      <c r="C93" s="60" t="s">
        <v>196</v>
      </c>
      <c r="D93" s="60" t="s">
        <v>128</v>
      </c>
      <c r="E93" s="60" t="s">
        <v>128</v>
      </c>
      <c r="G93" s="24"/>
    </row>
    <row r="94" spans="1:7" x14ac:dyDescent="0.3">
      <c r="A94" s="24">
        <v>13</v>
      </c>
      <c r="B94" s="60" t="s">
        <v>287</v>
      </c>
      <c r="C94" s="60" t="s">
        <v>196</v>
      </c>
      <c r="D94" s="58"/>
      <c r="E94" s="58"/>
      <c r="G94" s="24"/>
    </row>
    <row r="95" spans="1:7" x14ac:dyDescent="0.3">
      <c r="A95" s="24">
        <v>14</v>
      </c>
      <c r="B95" s="60" t="s">
        <v>288</v>
      </c>
      <c r="C95" s="60" t="s">
        <v>289</v>
      </c>
      <c r="D95" s="60" t="s">
        <v>290</v>
      </c>
      <c r="E95" s="60" t="s">
        <v>128</v>
      </c>
      <c r="G95" s="24"/>
    </row>
    <row r="96" spans="1:7" x14ac:dyDescent="0.3">
      <c r="A96" s="24">
        <v>15</v>
      </c>
      <c r="B96" s="60" t="s">
        <v>285</v>
      </c>
      <c r="C96" s="60" t="s">
        <v>291</v>
      </c>
      <c r="D96" s="60" t="s">
        <v>128</v>
      </c>
      <c r="E96" s="60" t="s">
        <v>128</v>
      </c>
      <c r="G96" s="24"/>
    </row>
    <row r="97" spans="1:7" x14ac:dyDescent="0.3">
      <c r="A97" s="24">
        <v>16</v>
      </c>
      <c r="B97" s="60" t="s">
        <v>296</v>
      </c>
      <c r="C97" s="60" t="s">
        <v>146</v>
      </c>
      <c r="D97" s="58" t="s">
        <v>128</v>
      </c>
      <c r="E97" s="60" t="s">
        <v>128</v>
      </c>
      <c r="G97" s="24"/>
    </row>
    <row r="98" spans="1:7" x14ac:dyDescent="0.3">
      <c r="A98" s="24">
        <v>17</v>
      </c>
      <c r="B98" s="62" t="s">
        <v>294</v>
      </c>
      <c r="C98" s="60" t="s">
        <v>146</v>
      </c>
      <c r="D98" s="60" t="s">
        <v>128</v>
      </c>
      <c r="E98" s="60" t="s">
        <v>128</v>
      </c>
      <c r="G98" s="24"/>
    </row>
    <row r="99" spans="1:7" x14ac:dyDescent="0.3">
      <c r="A99" s="24">
        <v>18</v>
      </c>
      <c r="B99" s="62" t="s">
        <v>295</v>
      </c>
      <c r="C99" s="60" t="s">
        <v>146</v>
      </c>
      <c r="D99" s="60" t="s">
        <v>128</v>
      </c>
      <c r="E99" s="60" t="s">
        <v>128</v>
      </c>
      <c r="G99" s="24"/>
    </row>
    <row r="100" spans="1:7" x14ac:dyDescent="0.3">
      <c r="A100" s="24">
        <v>19</v>
      </c>
      <c r="B100" s="62" t="s">
        <v>297</v>
      </c>
      <c r="C100" s="60" t="s">
        <v>146</v>
      </c>
      <c r="D100" s="60" t="s">
        <v>128</v>
      </c>
      <c r="E100" s="60" t="s">
        <v>128</v>
      </c>
      <c r="G100" s="24"/>
    </row>
    <row r="101" spans="1:7" x14ac:dyDescent="0.3">
      <c r="A101" s="24">
        <v>20</v>
      </c>
      <c r="B101" s="62" t="s">
        <v>298</v>
      </c>
      <c r="C101" s="60" t="s">
        <v>299</v>
      </c>
      <c r="D101" s="60" t="s">
        <v>146</v>
      </c>
      <c r="E101" s="60" t="s">
        <v>128</v>
      </c>
      <c r="G101" s="24"/>
    </row>
    <row r="102" spans="1:7" x14ac:dyDescent="0.3">
      <c r="A102" s="24">
        <v>21</v>
      </c>
      <c r="B102" s="62" t="s">
        <v>298</v>
      </c>
      <c r="C102" s="60" t="s">
        <v>299</v>
      </c>
      <c r="D102" s="60" t="s">
        <v>146</v>
      </c>
      <c r="E102" s="60" t="s">
        <v>128</v>
      </c>
      <c r="G102" s="24"/>
    </row>
    <row r="103" spans="1:7" x14ac:dyDescent="0.3">
      <c r="A103" s="24">
        <v>22</v>
      </c>
      <c r="B103" s="62" t="s">
        <v>290</v>
      </c>
      <c r="C103" s="60" t="s">
        <v>146</v>
      </c>
      <c r="D103" s="60" t="s">
        <v>128</v>
      </c>
      <c r="E103" s="60" t="s">
        <v>128</v>
      </c>
      <c r="G103" s="24"/>
    </row>
    <row r="104" spans="1:7" x14ac:dyDescent="0.3">
      <c r="A104" s="24">
        <v>23</v>
      </c>
      <c r="B104" s="60" t="s">
        <v>285</v>
      </c>
      <c r="C104" s="60" t="s">
        <v>300</v>
      </c>
      <c r="D104" s="60" t="s">
        <v>146</v>
      </c>
      <c r="E104" s="60" t="s">
        <v>128</v>
      </c>
      <c r="G104" s="24"/>
    </row>
    <row r="105" spans="1:7" x14ac:dyDescent="0.3">
      <c r="B105" s="60"/>
      <c r="C105" s="60"/>
      <c r="D105" s="60"/>
      <c r="E105" s="60"/>
      <c r="G105" s="24"/>
    </row>
    <row r="106" spans="1:7" x14ac:dyDescent="0.3">
      <c r="A106" s="24"/>
      <c r="B106" s="24"/>
      <c r="C106" s="24"/>
      <c r="D106" s="24"/>
      <c r="E106" s="24"/>
      <c r="G106" s="24"/>
    </row>
    <row r="107" spans="1:7" x14ac:dyDescent="0.3">
      <c r="A107" s="24" t="s">
        <v>106</v>
      </c>
      <c r="B107" s="24"/>
      <c r="G107" s="24"/>
    </row>
    <row r="108" spans="1:7" x14ac:dyDescent="0.3">
      <c r="A108" s="24">
        <v>0</v>
      </c>
      <c r="B108" s="24">
        <v>0</v>
      </c>
      <c r="D108" t="s">
        <v>270</v>
      </c>
      <c r="G108" s="24"/>
    </row>
    <row r="109" spans="1:7" x14ac:dyDescent="0.3">
      <c r="A109" s="24">
        <v>1</v>
      </c>
      <c r="B109" s="24">
        <v>1</v>
      </c>
      <c r="D109" t="s">
        <v>183</v>
      </c>
      <c r="G109" s="24"/>
    </row>
    <row r="110" spans="1:7" x14ac:dyDescent="0.3">
      <c r="A110" s="24">
        <v>2</v>
      </c>
      <c r="B110" s="24">
        <v>1</v>
      </c>
      <c r="D110" t="s">
        <v>271</v>
      </c>
      <c r="G110" s="24"/>
    </row>
    <row r="111" spans="1:7" x14ac:dyDescent="0.3">
      <c r="A111" s="24">
        <v>3</v>
      </c>
      <c r="B111" s="24">
        <v>2</v>
      </c>
      <c r="G111" s="24"/>
    </row>
    <row r="112" spans="1:7" x14ac:dyDescent="0.3">
      <c r="A112" s="24">
        <v>4</v>
      </c>
      <c r="B112" s="24">
        <v>1</v>
      </c>
      <c r="G112" s="24"/>
    </row>
    <row r="113" spans="1:7" x14ac:dyDescent="0.3">
      <c r="A113" s="24">
        <v>5</v>
      </c>
      <c r="B113" s="24">
        <v>1</v>
      </c>
      <c r="G113" s="24"/>
    </row>
    <row r="114" spans="1:7" x14ac:dyDescent="0.3">
      <c r="A114" s="24">
        <v>6</v>
      </c>
      <c r="B114" s="24">
        <v>1</v>
      </c>
      <c r="G114" s="24"/>
    </row>
    <row r="115" spans="1:7" x14ac:dyDescent="0.3">
      <c r="A115" s="24">
        <v>7</v>
      </c>
      <c r="B115" s="24">
        <v>1</v>
      </c>
      <c r="G115" s="24"/>
    </row>
    <row r="116" spans="1:7" x14ac:dyDescent="0.3">
      <c r="A116" s="24">
        <v>8</v>
      </c>
      <c r="B116" s="24">
        <v>1</v>
      </c>
      <c r="G116" s="24"/>
    </row>
    <row r="117" spans="1:7" x14ac:dyDescent="0.3">
      <c r="A117" s="24">
        <v>9</v>
      </c>
      <c r="B117" s="24">
        <v>1</v>
      </c>
      <c r="G117" s="24"/>
    </row>
    <row r="118" spans="1:7" x14ac:dyDescent="0.3">
      <c r="A118" s="24">
        <v>10</v>
      </c>
      <c r="B118" s="24">
        <v>1</v>
      </c>
      <c r="G118" s="24"/>
    </row>
    <row r="119" spans="1:7" x14ac:dyDescent="0.3">
      <c r="A119" s="24">
        <v>11</v>
      </c>
      <c r="B119" s="24">
        <v>1</v>
      </c>
      <c r="C119" s="24"/>
      <c r="G119" s="24"/>
    </row>
    <row r="120" spans="1:7" x14ac:dyDescent="0.3">
      <c r="A120" s="24">
        <v>12</v>
      </c>
      <c r="B120" s="24">
        <v>1</v>
      </c>
      <c r="C120" s="24"/>
      <c r="G120" s="24"/>
    </row>
    <row r="121" spans="1:7" x14ac:dyDescent="0.3">
      <c r="A121" s="24">
        <v>13</v>
      </c>
      <c r="B121" s="60">
        <v>1</v>
      </c>
      <c r="C121" s="24"/>
      <c r="G121" s="24"/>
    </row>
    <row r="122" spans="1:7" x14ac:dyDescent="0.3">
      <c r="A122" s="24">
        <v>14</v>
      </c>
      <c r="B122" s="60">
        <v>1</v>
      </c>
      <c r="C122" s="24"/>
      <c r="G122" s="24"/>
    </row>
    <row r="123" spans="1:7" x14ac:dyDescent="0.3">
      <c r="A123" s="24">
        <v>15</v>
      </c>
      <c r="B123" s="60">
        <v>1</v>
      </c>
      <c r="C123" s="24"/>
      <c r="G123" s="24"/>
    </row>
    <row r="124" spans="1:7" x14ac:dyDescent="0.3">
      <c r="A124" s="24">
        <v>16</v>
      </c>
      <c r="B124" s="60">
        <v>1</v>
      </c>
      <c r="C124" s="24"/>
      <c r="G124" s="24"/>
    </row>
    <row r="125" spans="1:7" x14ac:dyDescent="0.3">
      <c r="A125" s="24">
        <v>17</v>
      </c>
      <c r="B125" s="60">
        <v>1</v>
      </c>
      <c r="C125" s="24"/>
      <c r="G125" s="24"/>
    </row>
    <row r="126" spans="1:7" x14ac:dyDescent="0.3">
      <c r="A126" s="24">
        <v>18</v>
      </c>
      <c r="B126" s="60">
        <v>1</v>
      </c>
      <c r="C126" s="24"/>
      <c r="G126" s="24"/>
    </row>
    <row r="127" spans="1:7" x14ac:dyDescent="0.3">
      <c r="A127" s="24">
        <v>19</v>
      </c>
      <c r="B127" s="60">
        <v>1</v>
      </c>
      <c r="C127" s="24"/>
      <c r="G127" s="24"/>
    </row>
    <row r="128" spans="1:7" x14ac:dyDescent="0.3">
      <c r="A128" s="24">
        <v>20</v>
      </c>
      <c r="B128" s="60">
        <v>1</v>
      </c>
      <c r="C128" s="24"/>
      <c r="G128" s="24"/>
    </row>
    <row r="129" spans="1:7" x14ac:dyDescent="0.3">
      <c r="A129" s="24">
        <v>21</v>
      </c>
      <c r="B129" s="60">
        <v>1</v>
      </c>
      <c r="C129" s="24"/>
      <c r="G129" s="24"/>
    </row>
    <row r="130" spans="1:7" x14ac:dyDescent="0.3">
      <c r="A130" s="24">
        <v>22</v>
      </c>
      <c r="B130" s="60">
        <v>1</v>
      </c>
      <c r="C130" s="24"/>
      <c r="G130" s="24"/>
    </row>
    <row r="131" spans="1:7" x14ac:dyDescent="0.3">
      <c r="A131" s="24">
        <v>23</v>
      </c>
      <c r="B131" s="60">
        <v>1</v>
      </c>
      <c r="C131" s="24"/>
      <c r="G131" s="24"/>
    </row>
    <row r="132" spans="1:7" x14ac:dyDescent="0.3">
      <c r="A132" s="24"/>
      <c r="B132" s="52"/>
      <c r="C132" s="24"/>
      <c r="G132" s="24"/>
    </row>
    <row r="133" spans="1:7" x14ac:dyDescent="0.3">
      <c r="A133" s="24"/>
      <c r="B133" s="24"/>
      <c r="C133" s="24"/>
      <c r="G133" s="24"/>
    </row>
    <row r="134" spans="1:7" x14ac:dyDescent="0.3">
      <c r="A134" s="24" t="s">
        <v>131</v>
      </c>
      <c r="B134" s="24"/>
      <c r="C134" s="24"/>
      <c r="G134" s="24"/>
    </row>
    <row r="135" spans="1:7" x14ac:dyDescent="0.3">
      <c r="A135" s="24">
        <v>0</v>
      </c>
      <c r="B135" s="24">
        <v>1</v>
      </c>
      <c r="C135" s="24"/>
      <c r="G135" s="24"/>
    </row>
    <row r="136" spans="1:7" x14ac:dyDescent="0.3">
      <c r="A136" s="24">
        <v>1</v>
      </c>
      <c r="B136" s="24">
        <v>0</v>
      </c>
      <c r="C136" s="24"/>
      <c r="G136" s="24"/>
    </row>
    <row r="137" spans="1:7" x14ac:dyDescent="0.3">
      <c r="A137" s="24">
        <v>2</v>
      </c>
      <c r="B137" s="24">
        <v>0</v>
      </c>
      <c r="C137" s="24"/>
      <c r="G137" s="24"/>
    </row>
    <row r="138" spans="1:7" x14ac:dyDescent="0.3">
      <c r="A138" s="24">
        <v>3</v>
      </c>
      <c r="B138" s="24">
        <v>0</v>
      </c>
      <c r="C138" s="24"/>
      <c r="G138" s="24"/>
    </row>
    <row r="139" spans="1:7" x14ac:dyDescent="0.3">
      <c r="A139" s="24">
        <v>4</v>
      </c>
      <c r="B139" s="24">
        <v>1</v>
      </c>
      <c r="C139" s="24"/>
      <c r="G139" s="24"/>
    </row>
    <row r="140" spans="1:7" x14ac:dyDescent="0.3">
      <c r="A140" s="24">
        <v>5</v>
      </c>
      <c r="B140" s="24">
        <v>0</v>
      </c>
      <c r="C140" s="24"/>
      <c r="G140" s="24"/>
    </row>
    <row r="141" spans="1:7" x14ac:dyDescent="0.3">
      <c r="A141" s="24">
        <v>6</v>
      </c>
      <c r="B141" s="24">
        <v>1</v>
      </c>
      <c r="C141" s="24"/>
      <c r="G141" s="24"/>
    </row>
    <row r="142" spans="1:7" x14ac:dyDescent="0.3">
      <c r="A142" s="24">
        <v>7</v>
      </c>
      <c r="B142" s="24">
        <v>0</v>
      </c>
      <c r="C142" s="24"/>
      <c r="G142" s="24"/>
    </row>
    <row r="143" spans="1:7" x14ac:dyDescent="0.3">
      <c r="A143" s="24">
        <v>8</v>
      </c>
      <c r="B143" s="24">
        <v>0</v>
      </c>
      <c r="C143" s="24"/>
      <c r="G143" s="24"/>
    </row>
    <row r="144" spans="1:7" x14ac:dyDescent="0.3">
      <c r="A144" s="24">
        <v>9</v>
      </c>
      <c r="B144" s="24">
        <v>1</v>
      </c>
      <c r="C144" s="24"/>
      <c r="G144" s="24"/>
    </row>
    <row r="145" spans="1:7" x14ac:dyDescent="0.3">
      <c r="A145" s="24">
        <v>10</v>
      </c>
      <c r="B145" s="24">
        <v>1</v>
      </c>
      <c r="C145" s="24"/>
      <c r="G145" s="24"/>
    </row>
    <row r="146" spans="1:7" x14ac:dyDescent="0.3">
      <c r="A146" s="24">
        <v>11</v>
      </c>
      <c r="B146" s="24">
        <v>0</v>
      </c>
      <c r="C146" s="24"/>
      <c r="G146" s="24"/>
    </row>
    <row r="147" spans="1:7" x14ac:dyDescent="0.3">
      <c r="A147" s="24">
        <v>12</v>
      </c>
      <c r="B147" s="24">
        <v>0</v>
      </c>
      <c r="C147" s="24"/>
      <c r="G147" s="24"/>
    </row>
    <row r="148" spans="1:7" x14ac:dyDescent="0.3">
      <c r="A148" s="24">
        <v>13</v>
      </c>
      <c r="B148" s="60">
        <v>0</v>
      </c>
      <c r="C148" s="24"/>
      <c r="G148" s="24"/>
    </row>
    <row r="149" spans="1:7" x14ac:dyDescent="0.3">
      <c r="A149" s="24">
        <v>14</v>
      </c>
      <c r="B149" s="60">
        <v>0</v>
      </c>
      <c r="C149" s="24"/>
      <c r="G149" s="24"/>
    </row>
    <row r="150" spans="1:7" x14ac:dyDescent="0.3">
      <c r="A150" s="24">
        <v>15</v>
      </c>
      <c r="B150" s="60">
        <v>1</v>
      </c>
      <c r="C150" s="24"/>
      <c r="G150" s="24"/>
    </row>
    <row r="151" spans="1:7" x14ac:dyDescent="0.3">
      <c r="A151" s="24">
        <v>16</v>
      </c>
      <c r="B151" s="60">
        <v>1</v>
      </c>
      <c r="C151" s="24"/>
      <c r="G151" s="24"/>
    </row>
    <row r="152" spans="1:7" x14ac:dyDescent="0.3">
      <c r="A152" s="24">
        <v>17</v>
      </c>
      <c r="B152" s="60">
        <v>0</v>
      </c>
      <c r="C152" s="24"/>
      <c r="G152" s="24"/>
    </row>
    <row r="153" spans="1:7" x14ac:dyDescent="0.3">
      <c r="A153" s="24">
        <v>18</v>
      </c>
      <c r="B153" s="60">
        <v>0</v>
      </c>
      <c r="C153" s="24"/>
      <c r="G153" s="24"/>
    </row>
    <row r="154" spans="1:7" x14ac:dyDescent="0.3">
      <c r="A154" s="24">
        <v>19</v>
      </c>
      <c r="B154" s="60">
        <v>0</v>
      </c>
      <c r="C154" s="24"/>
      <c r="G154" s="24"/>
    </row>
    <row r="155" spans="1:7" x14ac:dyDescent="0.3">
      <c r="A155" s="24">
        <v>20</v>
      </c>
      <c r="B155" s="60">
        <v>0</v>
      </c>
      <c r="C155" s="24"/>
      <c r="G155" s="24"/>
    </row>
    <row r="156" spans="1:7" x14ac:dyDescent="0.3">
      <c r="A156" s="24">
        <v>21</v>
      </c>
      <c r="B156" s="60">
        <v>0</v>
      </c>
      <c r="C156" s="24"/>
      <c r="G156" s="24"/>
    </row>
    <row r="157" spans="1:7" x14ac:dyDescent="0.3">
      <c r="A157" s="24">
        <v>22</v>
      </c>
      <c r="B157" s="60">
        <v>0</v>
      </c>
      <c r="C157" s="24"/>
      <c r="G157" s="24"/>
    </row>
    <row r="158" spans="1:7" x14ac:dyDescent="0.3">
      <c r="A158" s="24">
        <v>23</v>
      </c>
      <c r="B158" s="60">
        <v>1</v>
      </c>
      <c r="C158" s="24"/>
      <c r="G158" s="24"/>
    </row>
    <row r="159" spans="1:7" x14ac:dyDescent="0.3">
      <c r="A159" s="24"/>
      <c r="B159" s="24"/>
      <c r="C159" s="24"/>
      <c r="G159" s="24"/>
    </row>
    <row r="160" spans="1:7" x14ac:dyDescent="0.3">
      <c r="A160" s="24"/>
      <c r="B160" s="24"/>
      <c r="C160" s="24"/>
      <c r="G160" s="24"/>
    </row>
    <row r="161" spans="1:7" x14ac:dyDescent="0.3">
      <c r="A161" t="s">
        <v>108</v>
      </c>
      <c r="B161" s="24"/>
      <c r="C161" s="24"/>
      <c r="G161" s="24"/>
    </row>
    <row r="162" spans="1:7" x14ac:dyDescent="0.3">
      <c r="A162" t="s">
        <v>79</v>
      </c>
      <c r="B162" s="24" t="s">
        <v>101</v>
      </c>
      <c r="C162" s="24"/>
      <c r="G162" s="24"/>
    </row>
    <row r="163" spans="1:7" x14ac:dyDescent="0.3">
      <c r="A163" s="24">
        <v>0</v>
      </c>
      <c r="B163" s="19">
        <v>0</v>
      </c>
      <c r="C163" s="24"/>
      <c r="G163" s="24"/>
    </row>
    <row r="164" spans="1:7" x14ac:dyDescent="0.3">
      <c r="A164" s="24">
        <v>1</v>
      </c>
      <c r="B164" s="19">
        <v>0</v>
      </c>
      <c r="C164" s="24"/>
      <c r="G164" s="24"/>
    </row>
    <row r="165" spans="1:7" x14ac:dyDescent="0.3">
      <c r="A165" s="24">
        <v>2</v>
      </c>
      <c r="B165" s="19">
        <v>0</v>
      </c>
      <c r="C165" s="24"/>
      <c r="G165" s="24"/>
    </row>
    <row r="166" spans="1:7" x14ac:dyDescent="0.3">
      <c r="A166" s="24">
        <v>3</v>
      </c>
      <c r="B166" s="18">
        <v>0</v>
      </c>
      <c r="C166" s="24"/>
      <c r="G166" s="24"/>
    </row>
    <row r="167" spans="1:7" x14ac:dyDescent="0.3">
      <c r="A167" s="24">
        <v>4</v>
      </c>
      <c r="B167" s="19">
        <v>0</v>
      </c>
      <c r="C167" s="24"/>
      <c r="G167" s="24"/>
    </row>
    <row r="168" spans="1:7" x14ac:dyDescent="0.3">
      <c r="A168" s="24">
        <v>5</v>
      </c>
      <c r="B168" s="19">
        <v>1</v>
      </c>
      <c r="C168" s="24"/>
      <c r="G168" s="24"/>
    </row>
    <row r="169" spans="1:7" x14ac:dyDescent="0.3">
      <c r="A169" s="24">
        <v>6</v>
      </c>
      <c r="B169" s="19">
        <v>1</v>
      </c>
      <c r="C169" s="24"/>
      <c r="G169" s="24"/>
    </row>
    <row r="170" spans="1:7" x14ac:dyDescent="0.3">
      <c r="A170" s="24">
        <v>7</v>
      </c>
      <c r="B170" s="19">
        <v>1</v>
      </c>
      <c r="C170" s="24"/>
      <c r="G170" s="24"/>
    </row>
    <row r="171" spans="1:7" x14ac:dyDescent="0.3">
      <c r="A171" s="24">
        <v>8</v>
      </c>
      <c r="B171" s="19">
        <v>1</v>
      </c>
      <c r="C171" s="24"/>
      <c r="G171" s="24"/>
    </row>
    <row r="172" spans="1:7" x14ac:dyDescent="0.3">
      <c r="A172" s="24">
        <v>9</v>
      </c>
      <c r="B172" s="19">
        <v>5</v>
      </c>
      <c r="C172" s="24"/>
      <c r="G172" s="24"/>
    </row>
    <row r="173" spans="1:7" x14ac:dyDescent="0.3">
      <c r="A173" s="24">
        <v>10</v>
      </c>
      <c r="B173" s="19">
        <v>6</v>
      </c>
      <c r="C173" s="24"/>
      <c r="G173" s="24"/>
    </row>
    <row r="174" spans="1:7" x14ac:dyDescent="0.3">
      <c r="A174" s="24">
        <v>11</v>
      </c>
      <c r="B174" s="19">
        <v>8</v>
      </c>
      <c r="C174" s="24"/>
      <c r="G174" s="24"/>
    </row>
    <row r="175" spans="1:7" x14ac:dyDescent="0.3">
      <c r="A175" s="24">
        <v>12</v>
      </c>
      <c r="B175" s="19">
        <v>8</v>
      </c>
      <c r="C175" s="24"/>
      <c r="G175" s="24"/>
    </row>
    <row r="176" spans="1:7" x14ac:dyDescent="0.3">
      <c r="A176" s="24">
        <v>13</v>
      </c>
      <c r="B176" s="59">
        <v>8</v>
      </c>
      <c r="C176" s="24"/>
      <c r="G176" s="24"/>
    </row>
    <row r="177" spans="1:7" x14ac:dyDescent="0.3">
      <c r="A177" s="24">
        <v>14</v>
      </c>
      <c r="B177" s="59">
        <v>8</v>
      </c>
      <c r="C177" s="24"/>
      <c r="G177" s="24"/>
    </row>
    <row r="178" spans="1:7" x14ac:dyDescent="0.3">
      <c r="A178" s="24">
        <v>15</v>
      </c>
      <c r="B178" s="59">
        <v>9</v>
      </c>
      <c r="C178" s="24"/>
      <c r="G178" s="24"/>
    </row>
    <row r="179" spans="1:7" x14ac:dyDescent="0.3">
      <c r="A179" s="24">
        <v>16</v>
      </c>
      <c r="B179" s="59">
        <v>10</v>
      </c>
      <c r="C179" s="24"/>
      <c r="G179" s="24"/>
    </row>
    <row r="180" spans="1:7" x14ac:dyDescent="0.3">
      <c r="A180" s="24">
        <v>17</v>
      </c>
      <c r="B180" s="59">
        <v>11</v>
      </c>
      <c r="C180" s="24"/>
      <c r="G180" s="24"/>
    </row>
    <row r="181" spans="1:7" x14ac:dyDescent="0.3">
      <c r="A181" s="24">
        <v>18</v>
      </c>
      <c r="B181" s="59">
        <v>12</v>
      </c>
      <c r="C181" s="24"/>
      <c r="G181" s="24"/>
    </row>
    <row r="182" spans="1:7" x14ac:dyDescent="0.3">
      <c r="A182" s="24">
        <v>19</v>
      </c>
      <c r="B182" s="59">
        <v>13</v>
      </c>
      <c r="C182" s="24"/>
      <c r="G182" s="24"/>
    </row>
    <row r="183" spans="1:7" x14ac:dyDescent="0.3">
      <c r="A183" s="24">
        <v>20</v>
      </c>
      <c r="B183" s="59">
        <v>14</v>
      </c>
      <c r="C183" s="24"/>
      <c r="G183" s="24"/>
    </row>
    <row r="184" spans="1:7" x14ac:dyDescent="0.3">
      <c r="A184" s="24">
        <v>21</v>
      </c>
      <c r="B184" s="59">
        <v>14</v>
      </c>
      <c r="C184" s="24"/>
      <c r="G184" s="24"/>
    </row>
    <row r="185" spans="1:7" x14ac:dyDescent="0.3">
      <c r="A185" s="24">
        <v>22</v>
      </c>
      <c r="B185" s="59">
        <v>14</v>
      </c>
      <c r="C185" s="24"/>
      <c r="G185" s="24"/>
    </row>
    <row r="186" spans="1:7" x14ac:dyDescent="0.3">
      <c r="A186" s="24">
        <v>23</v>
      </c>
      <c r="B186" s="59">
        <v>15</v>
      </c>
      <c r="C186" s="24"/>
      <c r="G186" s="24"/>
    </row>
    <row r="187" spans="1:7" x14ac:dyDescent="0.3">
      <c r="A187" s="24"/>
      <c r="B187" s="54"/>
      <c r="C187" s="24"/>
      <c r="G187" s="24"/>
    </row>
    <row r="188" spans="1:7" x14ac:dyDescent="0.3">
      <c r="A188" s="24"/>
      <c r="B188" s="19"/>
      <c r="C188" s="24"/>
      <c r="G188" s="24"/>
    </row>
    <row r="189" spans="1:7" s="55" customFormat="1" x14ac:dyDescent="0.3">
      <c r="B189" s="63"/>
      <c r="C189" s="52"/>
      <c r="G189" s="52"/>
    </row>
    <row r="190" spans="1:7" s="55" customFormat="1" x14ac:dyDescent="0.3">
      <c r="A190" s="55" t="s">
        <v>107</v>
      </c>
      <c r="B190" s="63"/>
      <c r="C190" s="52"/>
      <c r="G190" s="52"/>
    </row>
    <row r="191" spans="1:7" s="55" customFormat="1" x14ac:dyDescent="0.3">
      <c r="A191" s="55" t="s">
        <v>93</v>
      </c>
      <c r="B191" s="63" t="s">
        <v>102</v>
      </c>
      <c r="C191" s="52"/>
      <c r="G191" s="52"/>
    </row>
    <row r="192" spans="1:7" s="55" customFormat="1" x14ac:dyDescent="0.3">
      <c r="A192" s="63">
        <v>0</v>
      </c>
      <c r="B192" s="63">
        <v>1</v>
      </c>
      <c r="C192" s="63">
        <v>2</v>
      </c>
      <c r="D192" s="63">
        <v>3</v>
      </c>
      <c r="E192" s="63">
        <v>4</v>
      </c>
      <c r="G192" s="52"/>
    </row>
    <row r="193" spans="1:7" s="55" customFormat="1" x14ac:dyDescent="0.3">
      <c r="A193" s="63">
        <v>1</v>
      </c>
      <c r="B193" s="54">
        <v>4</v>
      </c>
      <c r="C193" s="63">
        <v>5</v>
      </c>
      <c r="D193" s="63">
        <v>6</v>
      </c>
      <c r="G193" s="52"/>
    </row>
    <row r="194" spans="1:7" s="55" customFormat="1" x14ac:dyDescent="0.3">
      <c r="A194" s="63">
        <v>2</v>
      </c>
      <c r="B194" s="54">
        <v>0</v>
      </c>
      <c r="C194" s="63"/>
      <c r="D194" s="63"/>
      <c r="G194" s="52"/>
    </row>
    <row r="195" spans="1:7" s="55" customFormat="1" x14ac:dyDescent="0.3">
      <c r="A195" s="63">
        <v>3</v>
      </c>
      <c r="B195" s="54">
        <v>0</v>
      </c>
      <c r="C195" s="63"/>
      <c r="D195" s="63"/>
      <c r="G195" s="52"/>
    </row>
    <row r="196" spans="1:7" s="55" customFormat="1" x14ac:dyDescent="0.3">
      <c r="A196" s="63">
        <v>4</v>
      </c>
      <c r="B196" s="54">
        <v>7</v>
      </c>
      <c r="C196" s="63"/>
      <c r="D196" s="63"/>
      <c r="G196" s="52"/>
    </row>
    <row r="197" spans="1:7" s="55" customFormat="1" x14ac:dyDescent="0.3">
      <c r="A197" s="63">
        <v>5</v>
      </c>
      <c r="B197" s="54">
        <v>11</v>
      </c>
      <c r="C197" s="63"/>
      <c r="D197" s="63"/>
      <c r="G197" s="52"/>
    </row>
    <row r="198" spans="1:7" s="55" customFormat="1" x14ac:dyDescent="0.3">
      <c r="A198" s="63">
        <v>6</v>
      </c>
      <c r="B198" s="54">
        <v>0</v>
      </c>
      <c r="C198" s="63"/>
      <c r="D198" s="63"/>
      <c r="G198" s="52"/>
    </row>
    <row r="199" spans="1:7" s="55" customFormat="1" x14ac:dyDescent="0.3">
      <c r="A199" s="63">
        <v>7</v>
      </c>
      <c r="B199" s="54">
        <v>8</v>
      </c>
      <c r="C199" s="63"/>
      <c r="D199" s="63"/>
      <c r="G199" s="52"/>
    </row>
    <row r="200" spans="1:7" s="55" customFormat="1" x14ac:dyDescent="0.3">
      <c r="A200" s="63">
        <v>8</v>
      </c>
      <c r="B200" s="54">
        <v>9</v>
      </c>
      <c r="C200" s="63"/>
      <c r="D200" s="63"/>
      <c r="G200" s="52"/>
    </row>
    <row r="201" spans="1:7" s="55" customFormat="1" x14ac:dyDescent="0.3">
      <c r="A201" s="63">
        <v>9</v>
      </c>
      <c r="B201" s="54">
        <v>10</v>
      </c>
      <c r="C201" s="63"/>
      <c r="D201" s="63"/>
      <c r="G201" s="52"/>
    </row>
    <row r="202" spans="1:7" s="55" customFormat="1" x14ac:dyDescent="0.3">
      <c r="A202" s="63">
        <v>10</v>
      </c>
      <c r="B202" s="54">
        <v>0</v>
      </c>
      <c r="C202" s="63"/>
      <c r="D202" s="63"/>
      <c r="G202" s="52"/>
    </row>
    <row r="203" spans="1:7" s="55" customFormat="1" x14ac:dyDescent="0.3">
      <c r="A203" s="63">
        <v>11</v>
      </c>
      <c r="B203" s="54">
        <v>12</v>
      </c>
      <c r="C203" s="63"/>
      <c r="D203" s="63"/>
      <c r="G203" s="52"/>
    </row>
    <row r="204" spans="1:7" s="55" customFormat="1" x14ac:dyDescent="0.3">
      <c r="A204" s="63">
        <v>12</v>
      </c>
      <c r="B204" s="54">
        <v>0</v>
      </c>
      <c r="C204" s="63"/>
      <c r="D204" s="63"/>
      <c r="G204" s="52"/>
    </row>
    <row r="205" spans="1:7" s="55" customFormat="1" x14ac:dyDescent="0.3">
      <c r="A205" s="63"/>
      <c r="B205" s="54"/>
      <c r="C205" s="63"/>
      <c r="D205" s="63"/>
      <c r="G205" s="52"/>
    </row>
    <row r="206" spans="1:7" x14ac:dyDescent="0.3">
      <c r="A206" s="18"/>
      <c r="B206" s="18"/>
      <c r="C206" s="18"/>
      <c r="D206" s="18"/>
      <c r="G206" s="24"/>
    </row>
    <row r="207" spans="1:7" x14ac:dyDescent="0.3">
      <c r="B207" s="18"/>
      <c r="C207" s="24"/>
      <c r="G207" s="24"/>
    </row>
    <row r="208" spans="1:7" hidden="1" x14ac:dyDescent="0.3">
      <c r="B208" s="24"/>
      <c r="C208" s="24"/>
      <c r="G208" s="24"/>
    </row>
    <row r="209" spans="1:7" hidden="1" x14ac:dyDescent="0.3">
      <c r="A209" t="s">
        <v>139</v>
      </c>
      <c r="B209" s="24"/>
      <c r="C209" s="24"/>
      <c r="G209" s="24"/>
    </row>
    <row r="210" spans="1:7" hidden="1" x14ac:dyDescent="0.3">
      <c r="A210" s="24">
        <v>0</v>
      </c>
      <c r="B210" s="24" t="s">
        <v>62</v>
      </c>
      <c r="G210" s="24"/>
    </row>
    <row r="211" spans="1:7" hidden="1" x14ac:dyDescent="0.3">
      <c r="A211" s="24">
        <v>1</v>
      </c>
      <c r="B211" s="24" t="s">
        <v>72</v>
      </c>
      <c r="G211" s="24"/>
    </row>
    <row r="212" spans="1:7" hidden="1" x14ac:dyDescent="0.3">
      <c r="A212" s="24">
        <v>2</v>
      </c>
      <c r="B212" s="24" t="s">
        <v>110</v>
      </c>
      <c r="G212" s="24"/>
    </row>
    <row r="213" spans="1:7" hidden="1" x14ac:dyDescent="0.3">
      <c r="A213" s="24">
        <v>3</v>
      </c>
      <c r="B213" s="24" t="s">
        <v>77</v>
      </c>
      <c r="G213" s="24"/>
    </row>
    <row r="214" spans="1:7" hidden="1" x14ac:dyDescent="0.3">
      <c r="A214" s="24">
        <v>4</v>
      </c>
      <c r="B214" s="24" t="s">
        <v>51</v>
      </c>
      <c r="G214" s="24"/>
    </row>
    <row r="215" spans="1:7" hidden="1" x14ac:dyDescent="0.3">
      <c r="A215" s="24">
        <v>5</v>
      </c>
      <c r="B215" s="24" t="s">
        <v>51</v>
      </c>
      <c r="G215" s="24"/>
    </row>
    <row r="216" spans="1:7" hidden="1" x14ac:dyDescent="0.3">
      <c r="A216" s="24">
        <v>6</v>
      </c>
      <c r="B216" s="24" t="s">
        <v>73</v>
      </c>
      <c r="G216" s="24"/>
    </row>
    <row r="217" spans="1:7" hidden="1" x14ac:dyDescent="0.3">
      <c r="A217" s="24">
        <v>7</v>
      </c>
      <c r="B217" s="24" t="s">
        <v>74</v>
      </c>
      <c r="G217" s="24"/>
    </row>
    <row r="218" spans="1:7" hidden="1" x14ac:dyDescent="0.3">
      <c r="A218" s="24">
        <v>8</v>
      </c>
      <c r="B218" s="24" t="s">
        <v>75</v>
      </c>
      <c r="G218" s="24"/>
    </row>
    <row r="219" spans="1:7" hidden="1" x14ac:dyDescent="0.3">
      <c r="A219" s="24">
        <v>9</v>
      </c>
      <c r="B219" s="24" t="s">
        <v>76</v>
      </c>
      <c r="E219" s="18"/>
    </row>
    <row r="220" spans="1:7" hidden="1" x14ac:dyDescent="0.3">
      <c r="A220" s="24">
        <v>10</v>
      </c>
      <c r="B220" s="24" t="s">
        <v>96</v>
      </c>
      <c r="E220" s="18"/>
    </row>
    <row r="221" spans="1:7" hidden="1" x14ac:dyDescent="0.3">
      <c r="A221" s="24">
        <v>11</v>
      </c>
      <c r="B221" s="24" t="s">
        <v>97</v>
      </c>
      <c r="E221" s="18"/>
    </row>
    <row r="222" spans="1:7" hidden="1" x14ac:dyDescent="0.3">
      <c r="A222" s="24">
        <v>12</v>
      </c>
      <c r="B222" s="24" t="s">
        <v>71</v>
      </c>
      <c r="E222" s="18"/>
    </row>
    <row r="223" spans="1:7" hidden="1" x14ac:dyDescent="0.3">
      <c r="A223" s="24">
        <v>13</v>
      </c>
      <c r="B223" s="24" t="s">
        <v>98</v>
      </c>
      <c r="E223" s="18"/>
    </row>
    <row r="224" spans="1:7" hidden="1" x14ac:dyDescent="0.3">
      <c r="A224" s="24">
        <v>14</v>
      </c>
      <c r="B224" s="24" t="s">
        <v>96</v>
      </c>
      <c r="E224" s="18"/>
    </row>
    <row r="225" spans="1:5" hidden="1" x14ac:dyDescent="0.3">
      <c r="A225" s="24">
        <v>15</v>
      </c>
      <c r="B225" s="24" t="s">
        <v>78</v>
      </c>
      <c r="E225" s="18"/>
    </row>
    <row r="226" spans="1:5" hidden="1" x14ac:dyDescent="0.3">
      <c r="A226" s="24">
        <v>16</v>
      </c>
      <c r="B226" s="24" t="s">
        <v>95</v>
      </c>
    </row>
    <row r="227" spans="1:5" hidden="1" x14ac:dyDescent="0.3">
      <c r="B227" s="24"/>
      <c r="C227" s="24"/>
      <c r="E227" s="24"/>
    </row>
    <row r="228" spans="1:5" hidden="1" x14ac:dyDescent="0.3">
      <c r="B228" s="24"/>
      <c r="C228" s="24"/>
      <c r="E228" s="24"/>
    </row>
    <row r="229" spans="1:5" hidden="1" x14ac:dyDescent="0.3">
      <c r="A229" s="18"/>
      <c r="B229" s="24"/>
      <c r="C229" s="24"/>
      <c r="E229" s="24"/>
    </row>
    <row r="230" spans="1:5" hidden="1" x14ac:dyDescent="0.3">
      <c r="A230" s="18"/>
      <c r="B230" s="24"/>
      <c r="C230" s="24"/>
      <c r="E230" s="24"/>
    </row>
    <row r="231" spans="1:5" hidden="1" x14ac:dyDescent="0.3">
      <c r="A231" s="18"/>
      <c r="B231" s="24"/>
      <c r="C231" s="24"/>
      <c r="E231" s="24"/>
    </row>
    <row r="232" spans="1:5" hidden="1" x14ac:dyDescent="0.3">
      <c r="A232" s="18"/>
      <c r="B232" s="24"/>
      <c r="C232" s="24"/>
      <c r="E232" s="24"/>
    </row>
    <row r="233" spans="1:5" hidden="1" x14ac:dyDescent="0.3">
      <c r="A233" s="18"/>
      <c r="B233" s="24"/>
      <c r="C233" s="24"/>
      <c r="E233" s="24"/>
    </row>
    <row r="234" spans="1:5" hidden="1" x14ac:dyDescent="0.3">
      <c r="A234" s="18"/>
      <c r="B234" s="24"/>
      <c r="C234" s="24"/>
      <c r="E234" s="24"/>
    </row>
    <row r="235" spans="1:5" hidden="1" x14ac:dyDescent="0.3">
      <c r="A235" s="18"/>
      <c r="B235" s="24"/>
      <c r="C235" s="24"/>
      <c r="E235" s="24"/>
    </row>
    <row r="236" spans="1:5" hidden="1" x14ac:dyDescent="0.3">
      <c r="A236" s="18"/>
      <c r="B236" s="24"/>
      <c r="C236" s="24"/>
      <c r="E236" s="24"/>
    </row>
    <row r="237" spans="1:5" hidden="1" x14ac:dyDescent="0.3">
      <c r="A237" s="18" t="s">
        <v>140</v>
      </c>
      <c r="B237" s="24"/>
      <c r="C237" s="24"/>
      <c r="E237" s="24"/>
    </row>
    <row r="238" spans="1:5" hidden="1" x14ac:dyDescent="0.3">
      <c r="A238" s="18">
        <v>0</v>
      </c>
      <c r="B238" s="24">
        <v>0</v>
      </c>
      <c r="C238" s="24" t="s">
        <v>115</v>
      </c>
      <c r="E238" s="24"/>
    </row>
    <row r="239" spans="1:5" hidden="1" x14ac:dyDescent="0.3">
      <c r="A239" s="18">
        <v>1</v>
      </c>
      <c r="B239" s="24">
        <v>0</v>
      </c>
      <c r="C239" s="24" t="s">
        <v>116</v>
      </c>
      <c r="E239" s="24"/>
    </row>
    <row r="240" spans="1:5" hidden="1" x14ac:dyDescent="0.3">
      <c r="A240" s="18">
        <v>2</v>
      </c>
      <c r="B240" s="24">
        <v>0</v>
      </c>
      <c r="C240" s="24" t="s">
        <v>117</v>
      </c>
      <c r="E240" s="24"/>
    </row>
    <row r="241" spans="1:9" hidden="1" x14ac:dyDescent="0.3">
      <c r="A241" s="18">
        <v>3</v>
      </c>
      <c r="B241" s="24">
        <v>0</v>
      </c>
      <c r="C241" s="24" t="s">
        <v>118</v>
      </c>
      <c r="E241" s="24"/>
    </row>
    <row r="242" spans="1:9" hidden="1" x14ac:dyDescent="0.3">
      <c r="A242" s="18">
        <v>4</v>
      </c>
      <c r="B242" s="24">
        <v>0</v>
      </c>
      <c r="C242" s="24" t="s">
        <v>119</v>
      </c>
      <c r="E242" s="24"/>
    </row>
    <row r="243" spans="1:9" hidden="1" x14ac:dyDescent="0.3">
      <c r="A243" s="18">
        <v>5</v>
      </c>
      <c r="B243" s="24">
        <v>6</v>
      </c>
      <c r="C243" s="24" t="s">
        <v>115</v>
      </c>
      <c r="E243" s="24"/>
    </row>
    <row r="244" spans="1:9" hidden="1" x14ac:dyDescent="0.3">
      <c r="A244" s="18">
        <v>6</v>
      </c>
      <c r="B244" s="24">
        <v>6</v>
      </c>
      <c r="C244" s="24" t="s">
        <v>116</v>
      </c>
      <c r="E244" s="24"/>
    </row>
    <row r="245" spans="1:9" hidden="1" x14ac:dyDescent="0.3">
      <c r="A245" s="18">
        <v>7</v>
      </c>
      <c r="B245" s="24">
        <v>6</v>
      </c>
      <c r="C245" s="24" t="s">
        <v>117</v>
      </c>
      <c r="E245" s="24"/>
    </row>
    <row r="246" spans="1:9" hidden="1" x14ac:dyDescent="0.3">
      <c r="A246" s="18">
        <v>8</v>
      </c>
      <c r="B246" s="24">
        <v>6</v>
      </c>
      <c r="C246" s="24" t="s">
        <v>118</v>
      </c>
      <c r="E246" s="24"/>
    </row>
    <row r="247" spans="1:9" hidden="1" x14ac:dyDescent="0.3">
      <c r="A247" s="18">
        <v>9</v>
      </c>
      <c r="B247" s="24">
        <v>7</v>
      </c>
      <c r="C247" s="24" t="s">
        <v>120</v>
      </c>
      <c r="E247" s="24"/>
    </row>
    <row r="248" spans="1:9" hidden="1" x14ac:dyDescent="0.3">
      <c r="A248" s="18">
        <v>10</v>
      </c>
      <c r="B248" s="24">
        <v>8</v>
      </c>
      <c r="C248" s="24" t="s">
        <v>121</v>
      </c>
      <c r="E248" s="24"/>
    </row>
    <row r="249" spans="1:9" hidden="1" x14ac:dyDescent="0.3">
      <c r="A249" s="18">
        <v>11</v>
      </c>
      <c r="B249" s="24">
        <v>9</v>
      </c>
      <c r="C249" s="24" t="s">
        <v>122</v>
      </c>
      <c r="E249" s="24"/>
    </row>
    <row r="250" spans="1:9" hidden="1" x14ac:dyDescent="0.3">
      <c r="A250" s="18">
        <v>12</v>
      </c>
      <c r="B250" s="24">
        <v>10</v>
      </c>
      <c r="C250" s="24" t="s">
        <v>120</v>
      </c>
      <c r="E250" s="24"/>
    </row>
    <row r="251" spans="1:9" hidden="1" x14ac:dyDescent="0.3">
      <c r="A251" s="18">
        <v>13</v>
      </c>
      <c r="B251" s="24">
        <v>11</v>
      </c>
      <c r="C251" s="24" t="s">
        <v>123</v>
      </c>
    </row>
    <row r="252" spans="1:9" hidden="1" x14ac:dyDescent="0.3">
      <c r="I252" s="18"/>
    </row>
    <row r="253" spans="1:9" hidden="1" x14ac:dyDescent="0.3">
      <c r="A253" t="s">
        <v>113</v>
      </c>
      <c r="I253" s="18"/>
    </row>
    <row r="254" spans="1:9" hidden="1" x14ac:dyDescent="0.3">
      <c r="A254" s="18">
        <v>0</v>
      </c>
      <c r="B254" t="s">
        <v>114</v>
      </c>
      <c r="I254" s="18"/>
    </row>
    <row r="255" spans="1:9" x14ac:dyDescent="0.3">
      <c r="I255" s="18"/>
    </row>
    <row r="256" spans="1:9" x14ac:dyDescent="0.3">
      <c r="A256" t="s">
        <v>132</v>
      </c>
      <c r="I256" s="18"/>
    </row>
    <row r="257" spans="1:9" x14ac:dyDescent="0.3">
      <c r="A257">
        <v>0</v>
      </c>
      <c r="B257">
        <v>0</v>
      </c>
      <c r="I257" s="18"/>
    </row>
    <row r="258" spans="1:9" x14ac:dyDescent="0.3">
      <c r="A258">
        <v>1</v>
      </c>
      <c r="B258">
        <v>0</v>
      </c>
      <c r="I258" s="18"/>
    </row>
    <row r="259" spans="1:9" x14ac:dyDescent="0.3">
      <c r="A259">
        <v>2</v>
      </c>
      <c r="B259">
        <v>0</v>
      </c>
      <c r="I259" s="18"/>
    </row>
    <row r="260" spans="1:9" x14ac:dyDescent="0.3">
      <c r="A260">
        <v>3</v>
      </c>
      <c r="B260" s="3">
        <v>-1</v>
      </c>
      <c r="I260" s="18"/>
    </row>
    <row r="261" spans="1:9" x14ac:dyDescent="0.3">
      <c r="A261">
        <v>4</v>
      </c>
      <c r="B261">
        <v>3</v>
      </c>
      <c r="I261" s="18"/>
    </row>
    <row r="262" spans="1:9" x14ac:dyDescent="0.3">
      <c r="A262">
        <v>5</v>
      </c>
      <c r="B262">
        <v>0</v>
      </c>
      <c r="I262" s="18"/>
    </row>
    <row r="263" spans="1:9" x14ac:dyDescent="0.3">
      <c r="A263">
        <v>6</v>
      </c>
      <c r="B263">
        <v>0</v>
      </c>
      <c r="I263" s="18"/>
    </row>
    <row r="264" spans="1:9" x14ac:dyDescent="0.3">
      <c r="A264">
        <v>7</v>
      </c>
      <c r="B264">
        <v>0</v>
      </c>
      <c r="I264" s="18"/>
    </row>
    <row r="265" spans="1:9" x14ac:dyDescent="0.3">
      <c r="A265">
        <v>8</v>
      </c>
      <c r="B265">
        <v>0</v>
      </c>
      <c r="I265" s="18"/>
    </row>
    <row r="266" spans="1:9" x14ac:dyDescent="0.3">
      <c r="A266">
        <v>9</v>
      </c>
      <c r="B266">
        <v>1</v>
      </c>
      <c r="I266" s="18"/>
    </row>
    <row r="267" spans="1:9" x14ac:dyDescent="0.3">
      <c r="A267">
        <v>10</v>
      </c>
      <c r="B267">
        <v>1</v>
      </c>
      <c r="I267" s="18"/>
    </row>
    <row r="268" spans="1:9" x14ac:dyDescent="0.3">
      <c r="A268">
        <v>11</v>
      </c>
      <c r="B268">
        <v>1</v>
      </c>
      <c r="I268" s="18"/>
    </row>
    <row r="269" spans="1:9" x14ac:dyDescent="0.3">
      <c r="A269">
        <v>12</v>
      </c>
      <c r="B269">
        <v>1</v>
      </c>
      <c r="I269" s="18"/>
    </row>
    <row r="270" spans="1:9" x14ac:dyDescent="0.3">
      <c r="A270">
        <v>13</v>
      </c>
      <c r="B270" s="58">
        <v>1</v>
      </c>
      <c r="I270" s="18"/>
    </row>
    <row r="271" spans="1:9" x14ac:dyDescent="0.3">
      <c r="A271">
        <v>14</v>
      </c>
      <c r="B271" s="58">
        <v>1</v>
      </c>
      <c r="I271" s="18"/>
    </row>
    <row r="272" spans="1:9" x14ac:dyDescent="0.3">
      <c r="A272">
        <v>15</v>
      </c>
      <c r="B272" s="58">
        <v>1</v>
      </c>
      <c r="I272" s="18"/>
    </row>
    <row r="273" spans="1:9" x14ac:dyDescent="0.3">
      <c r="A273">
        <v>16</v>
      </c>
      <c r="B273" s="58">
        <v>1</v>
      </c>
      <c r="I273" s="18"/>
    </row>
    <row r="274" spans="1:9" x14ac:dyDescent="0.3">
      <c r="A274">
        <v>17</v>
      </c>
      <c r="B274" s="58">
        <v>1</v>
      </c>
      <c r="I274" s="18"/>
    </row>
    <row r="275" spans="1:9" x14ac:dyDescent="0.3">
      <c r="A275">
        <v>18</v>
      </c>
      <c r="B275" s="58">
        <v>1</v>
      </c>
      <c r="I275" s="18"/>
    </row>
    <row r="276" spans="1:9" x14ac:dyDescent="0.3">
      <c r="A276">
        <v>19</v>
      </c>
      <c r="B276" s="58">
        <v>1</v>
      </c>
      <c r="I276" s="18"/>
    </row>
    <row r="277" spans="1:9" x14ac:dyDescent="0.3">
      <c r="A277">
        <v>20</v>
      </c>
      <c r="B277" s="58">
        <v>2</v>
      </c>
      <c r="I277" s="18"/>
    </row>
    <row r="278" spans="1:9" x14ac:dyDescent="0.3">
      <c r="A278">
        <v>21</v>
      </c>
      <c r="B278" s="58">
        <v>2</v>
      </c>
      <c r="I278" s="18"/>
    </row>
    <row r="279" spans="1:9" x14ac:dyDescent="0.3">
      <c r="A279">
        <v>22</v>
      </c>
      <c r="B279" s="58">
        <v>1</v>
      </c>
      <c r="I279" s="18"/>
    </row>
    <row r="280" spans="1:9" x14ac:dyDescent="0.3">
      <c r="A280">
        <v>23</v>
      </c>
      <c r="B280">
        <v>2</v>
      </c>
      <c r="I280" s="18"/>
    </row>
    <row r="281" spans="1:9" x14ac:dyDescent="0.3">
      <c r="I281" s="18"/>
    </row>
    <row r="283" spans="1:9" x14ac:dyDescent="0.3">
      <c r="A283" t="s">
        <v>133</v>
      </c>
    </row>
    <row r="284" spans="1:9" x14ac:dyDescent="0.3">
      <c r="A284">
        <v>0</v>
      </c>
      <c r="B284">
        <v>3</v>
      </c>
    </row>
    <row r="285" spans="1:9" x14ac:dyDescent="0.3">
      <c r="A285">
        <v>1</v>
      </c>
      <c r="B285">
        <v>3</v>
      </c>
    </row>
    <row r="286" spans="1:9" x14ac:dyDescent="0.3">
      <c r="A286">
        <v>2</v>
      </c>
      <c r="B286">
        <v>3</v>
      </c>
    </row>
    <row r="287" spans="1:9" x14ac:dyDescent="0.3">
      <c r="A287">
        <v>3</v>
      </c>
      <c r="B287" s="3">
        <v>-1</v>
      </c>
    </row>
    <row r="288" spans="1:9" x14ac:dyDescent="0.3">
      <c r="A288">
        <v>4</v>
      </c>
      <c r="B288">
        <v>3</v>
      </c>
    </row>
    <row r="289" spans="1:2" x14ac:dyDescent="0.3">
      <c r="A289">
        <v>5</v>
      </c>
      <c r="B289">
        <v>3</v>
      </c>
    </row>
    <row r="290" spans="1:2" x14ac:dyDescent="0.3">
      <c r="A290">
        <v>6</v>
      </c>
      <c r="B290">
        <v>0</v>
      </c>
    </row>
    <row r="291" spans="1:2" x14ac:dyDescent="0.3">
      <c r="A291">
        <v>7</v>
      </c>
      <c r="B291">
        <v>1</v>
      </c>
    </row>
    <row r="292" spans="1:2" x14ac:dyDescent="0.3">
      <c r="A292">
        <v>8</v>
      </c>
      <c r="B292">
        <v>3</v>
      </c>
    </row>
    <row r="293" spans="1:2" x14ac:dyDescent="0.3">
      <c r="A293">
        <v>9</v>
      </c>
      <c r="B293">
        <v>1</v>
      </c>
    </row>
    <row r="294" spans="1:2" x14ac:dyDescent="0.3">
      <c r="A294">
        <v>10</v>
      </c>
      <c r="B294">
        <v>1</v>
      </c>
    </row>
    <row r="295" spans="1:2" x14ac:dyDescent="0.3">
      <c r="A295">
        <v>11</v>
      </c>
      <c r="B295">
        <v>1</v>
      </c>
    </row>
    <row r="296" spans="1:2" x14ac:dyDescent="0.3">
      <c r="A296">
        <v>12</v>
      </c>
      <c r="B296">
        <v>1</v>
      </c>
    </row>
    <row r="297" spans="1:2" x14ac:dyDescent="0.3">
      <c r="A297">
        <v>13</v>
      </c>
      <c r="B297" s="58">
        <v>1</v>
      </c>
    </row>
    <row r="298" spans="1:2" x14ac:dyDescent="0.3">
      <c r="A298">
        <v>14</v>
      </c>
      <c r="B298" s="58">
        <v>2</v>
      </c>
    </row>
    <row r="299" spans="1:2" x14ac:dyDescent="0.3">
      <c r="A299">
        <v>15</v>
      </c>
      <c r="B299" s="58">
        <v>1</v>
      </c>
    </row>
    <row r="300" spans="1:2" x14ac:dyDescent="0.3">
      <c r="A300">
        <v>16</v>
      </c>
      <c r="B300" s="58">
        <v>1</v>
      </c>
    </row>
    <row r="301" spans="1:2" x14ac:dyDescent="0.3">
      <c r="A301">
        <v>17</v>
      </c>
      <c r="B301" s="58">
        <v>1</v>
      </c>
    </row>
    <row r="302" spans="1:2" x14ac:dyDescent="0.3">
      <c r="A302">
        <v>18</v>
      </c>
      <c r="B302" s="58">
        <v>1</v>
      </c>
    </row>
    <row r="303" spans="1:2" x14ac:dyDescent="0.3">
      <c r="A303">
        <v>19</v>
      </c>
      <c r="B303" s="58">
        <v>1</v>
      </c>
    </row>
    <row r="304" spans="1:2" x14ac:dyDescent="0.3">
      <c r="A304">
        <v>20</v>
      </c>
      <c r="B304" s="58">
        <v>2</v>
      </c>
    </row>
    <row r="305" spans="1:2" x14ac:dyDescent="0.3">
      <c r="A305">
        <v>21</v>
      </c>
      <c r="B305" s="58">
        <v>2</v>
      </c>
    </row>
    <row r="306" spans="1:2" x14ac:dyDescent="0.3">
      <c r="A306">
        <v>22</v>
      </c>
      <c r="B306" s="58">
        <v>1</v>
      </c>
    </row>
    <row r="307" spans="1:2" x14ac:dyDescent="0.3">
      <c r="A307">
        <v>23</v>
      </c>
      <c r="B307" s="58">
        <v>2</v>
      </c>
    </row>
    <row r="310" spans="1:2" x14ac:dyDescent="0.3">
      <c r="A310" t="s">
        <v>134</v>
      </c>
    </row>
    <row r="311" spans="1:2" x14ac:dyDescent="0.3">
      <c r="A311">
        <v>0</v>
      </c>
      <c r="B311">
        <v>3</v>
      </c>
    </row>
    <row r="312" spans="1:2" x14ac:dyDescent="0.3">
      <c r="A312">
        <v>1</v>
      </c>
      <c r="B312">
        <v>0</v>
      </c>
    </row>
    <row r="313" spans="1:2" x14ac:dyDescent="0.3">
      <c r="A313">
        <v>2</v>
      </c>
      <c r="B313">
        <v>0</v>
      </c>
    </row>
    <row r="314" spans="1:2" x14ac:dyDescent="0.3">
      <c r="A314">
        <v>3</v>
      </c>
      <c r="B314" s="3">
        <v>-1</v>
      </c>
    </row>
    <row r="315" spans="1:2" x14ac:dyDescent="0.3">
      <c r="A315">
        <v>4</v>
      </c>
      <c r="B315">
        <v>3</v>
      </c>
    </row>
    <row r="316" spans="1:2" x14ac:dyDescent="0.3">
      <c r="A316">
        <v>5</v>
      </c>
      <c r="B316">
        <v>1</v>
      </c>
    </row>
    <row r="317" spans="1:2" x14ac:dyDescent="0.3">
      <c r="A317">
        <v>6</v>
      </c>
      <c r="B317">
        <v>1</v>
      </c>
    </row>
    <row r="318" spans="1:2" x14ac:dyDescent="0.3">
      <c r="A318">
        <v>7</v>
      </c>
      <c r="B318">
        <v>0</v>
      </c>
    </row>
    <row r="319" spans="1:2" x14ac:dyDescent="0.3">
      <c r="A319">
        <v>8</v>
      </c>
      <c r="B319">
        <v>0</v>
      </c>
    </row>
    <row r="320" spans="1:2" x14ac:dyDescent="0.3">
      <c r="A320">
        <v>9</v>
      </c>
      <c r="B320">
        <v>1</v>
      </c>
    </row>
    <row r="321" spans="1:2" x14ac:dyDescent="0.3">
      <c r="A321">
        <v>10</v>
      </c>
      <c r="B321">
        <v>1</v>
      </c>
    </row>
    <row r="322" spans="1:2" x14ac:dyDescent="0.3">
      <c r="A322">
        <v>11</v>
      </c>
      <c r="B322">
        <v>1</v>
      </c>
    </row>
    <row r="323" spans="1:2" x14ac:dyDescent="0.3">
      <c r="A323">
        <v>12</v>
      </c>
      <c r="B323">
        <v>1</v>
      </c>
    </row>
    <row r="324" spans="1:2" x14ac:dyDescent="0.3">
      <c r="A324">
        <v>13</v>
      </c>
      <c r="B324" s="58">
        <v>1</v>
      </c>
    </row>
    <row r="325" spans="1:2" x14ac:dyDescent="0.3">
      <c r="A325">
        <v>14</v>
      </c>
      <c r="B325" s="58">
        <v>0</v>
      </c>
    </row>
    <row r="326" spans="1:2" x14ac:dyDescent="0.3">
      <c r="A326">
        <v>15</v>
      </c>
      <c r="B326" s="58">
        <v>1</v>
      </c>
    </row>
    <row r="327" spans="1:2" x14ac:dyDescent="0.3">
      <c r="A327">
        <v>16</v>
      </c>
      <c r="B327" s="58">
        <v>1</v>
      </c>
    </row>
    <row r="328" spans="1:2" x14ac:dyDescent="0.3">
      <c r="A328">
        <v>17</v>
      </c>
      <c r="B328" s="58">
        <v>1</v>
      </c>
    </row>
    <row r="329" spans="1:2" x14ac:dyDescent="0.3">
      <c r="A329">
        <v>18</v>
      </c>
      <c r="B329" s="58">
        <v>1</v>
      </c>
    </row>
    <row r="330" spans="1:2" x14ac:dyDescent="0.3">
      <c r="A330">
        <v>19</v>
      </c>
      <c r="B330" s="58">
        <v>1</v>
      </c>
    </row>
    <row r="331" spans="1:2" x14ac:dyDescent="0.3">
      <c r="A331">
        <v>20</v>
      </c>
      <c r="B331" s="58">
        <v>2</v>
      </c>
    </row>
    <row r="332" spans="1:2" x14ac:dyDescent="0.3">
      <c r="A332">
        <v>21</v>
      </c>
      <c r="B332" s="58">
        <v>2</v>
      </c>
    </row>
    <row r="333" spans="1:2" x14ac:dyDescent="0.3">
      <c r="A333">
        <v>22</v>
      </c>
      <c r="B333" s="58">
        <v>1</v>
      </c>
    </row>
    <row r="334" spans="1:2" x14ac:dyDescent="0.3">
      <c r="A334">
        <v>23</v>
      </c>
      <c r="B334" s="58">
        <v>2</v>
      </c>
    </row>
    <row r="337" spans="1:5" x14ac:dyDescent="0.3">
      <c r="A337" t="s">
        <v>141</v>
      </c>
    </row>
    <row r="338" spans="1:5" x14ac:dyDescent="0.3">
      <c r="A338" t="s">
        <v>79</v>
      </c>
      <c r="B338" t="s">
        <v>143</v>
      </c>
      <c r="C338" t="s">
        <v>142</v>
      </c>
      <c r="D338" t="s">
        <v>144</v>
      </c>
      <c r="E338" t="s">
        <v>145</v>
      </c>
    </row>
    <row r="339" spans="1:5" x14ac:dyDescent="0.3">
      <c r="A339">
        <v>0</v>
      </c>
      <c r="B339">
        <v>1</v>
      </c>
      <c r="C339">
        <v>2</v>
      </c>
      <c r="D339">
        <v>3</v>
      </c>
      <c r="E339">
        <v>4</v>
      </c>
    </row>
    <row r="340" spans="1:5" x14ac:dyDescent="0.3">
      <c r="A340">
        <v>1</v>
      </c>
      <c r="B340">
        <v>5</v>
      </c>
      <c r="C340">
        <v>6</v>
      </c>
      <c r="D340">
        <v>7</v>
      </c>
      <c r="E340">
        <v>8</v>
      </c>
    </row>
    <row r="341" spans="1:5" x14ac:dyDescent="0.3">
      <c r="A341">
        <v>2</v>
      </c>
      <c r="B341">
        <v>0</v>
      </c>
      <c r="C341">
        <v>0</v>
      </c>
      <c r="D341">
        <v>0</v>
      </c>
      <c r="E341">
        <v>0</v>
      </c>
    </row>
    <row r="342" spans="1:5" x14ac:dyDescent="0.3">
      <c r="A342">
        <v>3</v>
      </c>
      <c r="B342">
        <v>0</v>
      </c>
      <c r="C342">
        <v>0</v>
      </c>
      <c r="D342">
        <v>0</v>
      </c>
      <c r="E342">
        <v>-1</v>
      </c>
    </row>
    <row r="343" spans="1:5" x14ac:dyDescent="0.3">
      <c r="A343">
        <v>4</v>
      </c>
      <c r="B343">
        <v>0</v>
      </c>
      <c r="C343">
        <v>0</v>
      </c>
      <c r="D343">
        <v>0</v>
      </c>
      <c r="E343">
        <v>0</v>
      </c>
    </row>
    <row r="344" spans="1:5" x14ac:dyDescent="0.3">
      <c r="A344">
        <v>5</v>
      </c>
      <c r="B344">
        <v>9</v>
      </c>
      <c r="C344">
        <v>9</v>
      </c>
      <c r="D344">
        <v>9</v>
      </c>
      <c r="E344">
        <v>9</v>
      </c>
    </row>
    <row r="345" spans="1:5" x14ac:dyDescent="0.3">
      <c r="A345">
        <v>6</v>
      </c>
      <c r="B345">
        <v>10</v>
      </c>
      <c r="C345">
        <v>-1</v>
      </c>
      <c r="D345">
        <v>-1</v>
      </c>
      <c r="E345">
        <v>-1</v>
      </c>
    </row>
    <row r="346" spans="1:5" x14ac:dyDescent="0.3">
      <c r="A346">
        <v>7</v>
      </c>
      <c r="B346">
        <v>0</v>
      </c>
      <c r="C346">
        <v>0</v>
      </c>
      <c r="D346">
        <v>-1</v>
      </c>
      <c r="E346">
        <v>-1</v>
      </c>
    </row>
    <row r="347" spans="1:5" x14ac:dyDescent="0.3">
      <c r="A347">
        <v>8</v>
      </c>
      <c r="B347">
        <v>11</v>
      </c>
      <c r="C347">
        <v>12</v>
      </c>
      <c r="D347">
        <v>13</v>
      </c>
      <c r="E347">
        <v>14</v>
      </c>
    </row>
    <row r="348" spans="1:5" x14ac:dyDescent="0.3">
      <c r="A348">
        <v>9</v>
      </c>
      <c r="B348">
        <v>-1</v>
      </c>
      <c r="C348">
        <v>15</v>
      </c>
      <c r="D348">
        <v>-1</v>
      </c>
      <c r="E348">
        <v>-1</v>
      </c>
    </row>
    <row r="349" spans="1:5" x14ac:dyDescent="0.3">
      <c r="A349">
        <v>10</v>
      </c>
      <c r="B349">
        <v>-1</v>
      </c>
      <c r="C349">
        <v>16</v>
      </c>
      <c r="D349">
        <v>-1</v>
      </c>
      <c r="E349">
        <v>-1</v>
      </c>
    </row>
    <row r="350" spans="1:5" x14ac:dyDescent="0.3">
      <c r="A350">
        <v>11</v>
      </c>
      <c r="B350">
        <v>-1</v>
      </c>
      <c r="C350">
        <v>17</v>
      </c>
      <c r="D350">
        <v>-1</v>
      </c>
      <c r="E350">
        <v>-1</v>
      </c>
    </row>
    <row r="351" spans="1:5" x14ac:dyDescent="0.3">
      <c r="A351">
        <v>12</v>
      </c>
      <c r="B351">
        <v>-1</v>
      </c>
      <c r="C351">
        <v>18</v>
      </c>
      <c r="D351">
        <v>-1</v>
      </c>
      <c r="E351">
        <v>-1</v>
      </c>
    </row>
    <row r="352" spans="1:5" x14ac:dyDescent="0.3">
      <c r="A352" s="58">
        <v>13</v>
      </c>
      <c r="B352" s="58">
        <v>-1</v>
      </c>
      <c r="C352" s="58">
        <v>19</v>
      </c>
      <c r="D352" s="58">
        <v>-1</v>
      </c>
      <c r="E352" s="58">
        <v>-1</v>
      </c>
    </row>
    <row r="353" spans="1:5" x14ac:dyDescent="0.3">
      <c r="A353" s="58">
        <v>14</v>
      </c>
      <c r="B353" s="58">
        <v>20</v>
      </c>
      <c r="C353" s="58">
        <v>21</v>
      </c>
      <c r="D353" s="58">
        <v>22</v>
      </c>
      <c r="E353" s="58">
        <v>-1</v>
      </c>
    </row>
    <row r="354" spans="1:5" x14ac:dyDescent="0.3">
      <c r="A354" s="58">
        <v>15</v>
      </c>
      <c r="B354" s="58">
        <v>-1</v>
      </c>
      <c r="C354" s="58">
        <v>23</v>
      </c>
      <c r="D354" s="58">
        <v>-1</v>
      </c>
      <c r="E354" s="58">
        <v>-1</v>
      </c>
    </row>
    <row r="355" spans="1:5" x14ac:dyDescent="0.3">
      <c r="A355" s="58">
        <v>16</v>
      </c>
      <c r="B355" s="58">
        <v>-1</v>
      </c>
      <c r="C355" s="58">
        <v>0</v>
      </c>
      <c r="D355" s="58">
        <v>-1</v>
      </c>
      <c r="E355" s="58">
        <v>-1</v>
      </c>
    </row>
    <row r="356" spans="1:5" x14ac:dyDescent="0.3">
      <c r="A356" s="58">
        <v>17</v>
      </c>
      <c r="B356" s="58">
        <v>-1</v>
      </c>
      <c r="C356" s="58">
        <v>0</v>
      </c>
      <c r="D356" s="58">
        <v>-1</v>
      </c>
      <c r="E356" s="58">
        <v>-1</v>
      </c>
    </row>
    <row r="357" spans="1:5" x14ac:dyDescent="0.3">
      <c r="A357" s="58">
        <v>18</v>
      </c>
      <c r="B357" s="58">
        <v>-1</v>
      </c>
      <c r="C357" s="58">
        <v>0</v>
      </c>
      <c r="D357" s="58">
        <v>-1</v>
      </c>
      <c r="E357" s="58">
        <v>-1</v>
      </c>
    </row>
    <row r="358" spans="1:5" x14ac:dyDescent="0.3">
      <c r="A358" s="58">
        <v>19</v>
      </c>
      <c r="B358" s="58">
        <v>-1</v>
      </c>
      <c r="C358" s="58">
        <v>0</v>
      </c>
      <c r="D358" s="58">
        <v>-1</v>
      </c>
      <c r="E358" s="58">
        <v>-1</v>
      </c>
    </row>
    <row r="359" spans="1:5" x14ac:dyDescent="0.3">
      <c r="A359" s="58">
        <v>20</v>
      </c>
      <c r="B359" s="58">
        <v>-1</v>
      </c>
      <c r="C359" s="58">
        <v>-1</v>
      </c>
      <c r="D359" s="58">
        <v>0</v>
      </c>
      <c r="E359" s="58">
        <v>-1</v>
      </c>
    </row>
    <row r="360" spans="1:5" x14ac:dyDescent="0.3">
      <c r="A360" s="58">
        <v>21</v>
      </c>
      <c r="B360" s="58">
        <v>-1</v>
      </c>
      <c r="C360" s="58">
        <v>-1</v>
      </c>
      <c r="D360" s="58">
        <v>0</v>
      </c>
      <c r="E360" s="58">
        <v>-1</v>
      </c>
    </row>
    <row r="361" spans="1:5" x14ac:dyDescent="0.3">
      <c r="A361" s="58">
        <v>22</v>
      </c>
      <c r="B361" s="58">
        <v>-1</v>
      </c>
      <c r="C361" s="58">
        <v>0</v>
      </c>
      <c r="D361" s="58">
        <v>-1</v>
      </c>
      <c r="E361" s="58">
        <v>-1</v>
      </c>
    </row>
    <row r="362" spans="1:5" x14ac:dyDescent="0.3">
      <c r="A362" s="58">
        <v>23</v>
      </c>
      <c r="B362" s="58">
        <v>-1</v>
      </c>
      <c r="C362" s="58">
        <v>-1</v>
      </c>
      <c r="D362" s="58">
        <v>0</v>
      </c>
      <c r="E362" s="58">
        <v>-1</v>
      </c>
    </row>
  </sheetData>
  <phoneticPr fontId="3" type="noConversion"/>
  <pageMargins left="0.7" right="0.7" top="0.78740157499999996" bottom="0.78740157499999996" header="0.3" footer="0.3"/>
  <pageSetup paperSize="9" scale="53" orientation="portrait" horizontalDpi="0" verticalDpi="0" r:id="rId1"/>
  <rowBreaks count="2" manualBreakCount="2">
    <brk id="48" max="16383" man="1"/>
    <brk id="131" max="16383" man="1"/>
  </rowBreaks>
  <colBreaks count="1" manualBreakCount="1">
    <brk id="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1A730-4492-4FF5-9C64-A0BCC905A3DD}">
  <dimension ref="A2:G11"/>
  <sheetViews>
    <sheetView workbookViewId="0">
      <selection activeCell="A5" sqref="A5"/>
    </sheetView>
  </sheetViews>
  <sheetFormatPr baseColWidth="10" defaultRowHeight="14.4" x14ac:dyDescent="0.3"/>
  <sheetData>
    <row r="2" spans="1:7" x14ac:dyDescent="0.3">
      <c r="B2" t="s">
        <v>58</v>
      </c>
      <c r="C2" s="3" t="s">
        <v>61</v>
      </c>
      <c r="D2" s="3" t="s">
        <v>60</v>
      </c>
      <c r="E2" t="s">
        <v>59</v>
      </c>
      <c r="F2" s="3" t="s">
        <v>61</v>
      </c>
      <c r="G2" s="3" t="s">
        <v>60</v>
      </c>
    </row>
    <row r="3" spans="1:7" x14ac:dyDescent="0.3">
      <c r="A3" t="s">
        <v>53</v>
      </c>
      <c r="B3">
        <v>458.7</v>
      </c>
      <c r="C3">
        <f>B3-3</f>
        <v>455.7</v>
      </c>
      <c r="D3">
        <f>B3+3</f>
        <v>461.7</v>
      </c>
      <c r="E3">
        <f>B3+$B$10</f>
        <v>559</v>
      </c>
      <c r="F3">
        <f>E3-3</f>
        <v>556</v>
      </c>
      <c r="G3">
        <f>E3+3</f>
        <v>562</v>
      </c>
    </row>
    <row r="4" spans="1:7" x14ac:dyDescent="0.3">
      <c r="A4" t="s">
        <v>54</v>
      </c>
      <c r="B4">
        <v>547.29999999999995</v>
      </c>
      <c r="C4">
        <f t="shared" ref="C4:C5" si="0">B4-3</f>
        <v>544.29999999999995</v>
      </c>
      <c r="D4">
        <f t="shared" ref="D4:D5" si="1">B4+3</f>
        <v>550.29999999999995</v>
      </c>
      <c r="E4">
        <f>B4+$B$10</f>
        <v>647.59999999999991</v>
      </c>
      <c r="F4">
        <f t="shared" ref="F4:F5" si="2">E4-3</f>
        <v>644.59999999999991</v>
      </c>
      <c r="G4">
        <f t="shared" ref="G4:G5" si="3">E4+3</f>
        <v>650.59999999999991</v>
      </c>
    </row>
    <row r="5" spans="1:7" x14ac:dyDescent="0.3">
      <c r="A5" t="s">
        <v>55</v>
      </c>
      <c r="B5">
        <v>606.79999999999995</v>
      </c>
      <c r="C5">
        <f t="shared" si="0"/>
        <v>603.79999999999995</v>
      </c>
      <c r="D5">
        <f t="shared" si="1"/>
        <v>609.79999999999995</v>
      </c>
      <c r="E5">
        <f>B5+$B$11</f>
        <v>667.69999999999993</v>
      </c>
      <c r="F5">
        <f t="shared" si="2"/>
        <v>664.69999999999993</v>
      </c>
      <c r="G5">
        <f t="shared" si="3"/>
        <v>670.69999999999993</v>
      </c>
    </row>
    <row r="10" spans="1:7" x14ac:dyDescent="0.3">
      <c r="A10" t="s">
        <v>56</v>
      </c>
      <c r="B10">
        <v>100.3</v>
      </c>
    </row>
    <row r="11" spans="1:7" x14ac:dyDescent="0.3">
      <c r="A11" t="s">
        <v>57</v>
      </c>
      <c r="B11">
        <v>60.9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Logik Automatikschalter</vt:lpstr>
      <vt:lpstr>Pins</vt:lpstr>
      <vt:lpstr>Menü</vt:lpstr>
      <vt:lpstr>Menü Verwandschaften</vt:lpstr>
      <vt:lpstr>Siebtraeger-Gewichte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Bernhard Helbich</dc:creator>
  <cp:lastModifiedBy>Bernhard Helbich</cp:lastModifiedBy>
  <cp:lastPrinted>2025-01-03T14:50:13Z</cp:lastPrinted>
  <dcterms:created xsi:type="dcterms:W3CDTF">2022-08-04T16:19:23Z</dcterms:created>
  <dcterms:modified xsi:type="dcterms:W3CDTF">2026-05-20T16:40:51Z</dcterms:modified>
</cp:coreProperties>
</file>